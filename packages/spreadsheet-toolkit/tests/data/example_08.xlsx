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Warehouse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Fulfillment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Executiv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SupplierID</t>
        </is>
      </c>
      <c r="B1" t="inlineStr">
        <is>
          <t>Name</t>
        </is>
      </c>
      <c r="C1" t="inlineStr">
        <is>
          <t>Country</t>
        </is>
      </c>
      <c r="D1" t="inlineStr">
        <is>
          <t>Lead Time (days)</t>
        </is>
      </c>
      <c r="E1" t="inlineStr">
        <is>
          <t>Reliability %</t>
        </is>
      </c>
      <c r="F1" t="inlineStr">
        <is>
          <t>Discount Tier</t>
        </is>
      </c>
    </row>
    <row r="2">
      <c r="A2" t="inlineStr">
        <is>
          <t>SUP01</t>
        </is>
      </c>
      <c r="B2" t="inlineStr">
        <is>
          <t>Acme Corp</t>
        </is>
      </c>
      <c r="C2" t="inlineStr">
        <is>
          <t>USA</t>
        </is>
      </c>
      <c r="D2" t="n">
        <v>7</v>
      </c>
      <c r="E2" t="n">
        <v>0.95</v>
      </c>
      <c r="F2" t="inlineStr">
        <is>
          <t>Gold</t>
        </is>
      </c>
    </row>
    <row r="3">
      <c r="A3" t="inlineStr">
        <is>
          <t>SUP02</t>
        </is>
      </c>
      <c r="B3" t="inlineStr">
        <is>
          <t>GlobalParts</t>
        </is>
      </c>
      <c r="C3" t="inlineStr">
        <is>
          <t>Germany</t>
        </is>
      </c>
      <c r="D3" t="n">
        <v>14</v>
      </c>
      <c r="E3" t="n">
        <v>0.92</v>
      </c>
      <c r="F3" t="inlineStr">
        <is>
          <t>Silver</t>
        </is>
      </c>
    </row>
    <row r="4">
      <c r="A4" t="inlineStr">
        <is>
          <t>SUP03</t>
        </is>
      </c>
      <c r="B4" t="inlineStr">
        <is>
          <t>EastMfg</t>
        </is>
      </c>
      <c r="C4" t="inlineStr">
        <is>
          <t>China</t>
        </is>
      </c>
      <c r="D4" t="n">
        <v>21</v>
      </c>
      <c r="E4" t="n">
        <v>0.88</v>
      </c>
      <c r="F4" t="inlineStr">
        <is>
          <t>Bronze</t>
        </is>
      </c>
    </row>
    <row r="5">
      <c r="A5" t="inlineStr">
        <is>
          <t>SUP04</t>
        </is>
      </c>
      <c r="B5" t="inlineStr">
        <is>
          <t>NordicSupply</t>
        </is>
      </c>
      <c r="C5" t="inlineStr">
        <is>
          <t>Sweden</t>
        </is>
      </c>
      <c r="D5" t="n">
        <v>10</v>
      </c>
      <c r="E5" t="n">
        <v>0.97</v>
      </c>
      <c r="F5" t="inlineStr">
        <is>
          <t>Gold</t>
        </is>
      </c>
    </row>
    <row r="6">
      <c r="A6" t="inlineStr">
        <is>
          <t>SUP05</t>
        </is>
      </c>
      <c r="B6" t="inlineStr">
        <is>
          <t>MediterraneanCo</t>
        </is>
      </c>
      <c r="C6" t="inlineStr">
        <is>
          <t>Italy</t>
        </is>
      </c>
      <c r="D6" t="n">
        <v>12</v>
      </c>
      <c r="E6" t="n">
        <v>0.9</v>
      </c>
      <c r="F6" t="inlineStr">
        <is>
          <t>Silver</t>
        </is>
      </c>
    </row>
    <row r="8">
      <c r="A8" t="inlineStr">
        <is>
          <t>Avg Lead Time</t>
        </is>
      </c>
      <c r="B8">
        <f>AVERAGE(D2:D6)</f>
        <v/>
      </c>
    </row>
    <row r="9">
      <c r="A9" t="inlineStr">
        <is>
          <t>Avg Reliability</t>
        </is>
      </c>
      <c r="B9">
        <f>AVERAGE(E2:E6)</f>
        <v/>
      </c>
    </row>
    <row r="10">
      <c r="A10" t="inlineStr">
        <is>
          <t>Best Supplier</t>
        </is>
      </c>
      <c r="B10">
        <f>INDEX(B2:B6,MATCH(MAX(E2:E6),E2:E6,0))</f>
        <v/>
      </c>
    </row>
    <row r="11">
      <c r="A11" t="inlineStr">
        <is>
          <t>Gold Suppliers</t>
        </is>
      </c>
      <c r="B11">
        <f>COUNTIF(F2:F6,"Gold")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</t>
        </is>
      </c>
      <c r="D1" t="inlineStr">
        <is>
          <t>SupplierID</t>
        </is>
      </c>
      <c r="E1" t="inlineStr">
        <is>
          <t>Unit Cost</t>
        </is>
      </c>
      <c r="F1" t="inlineStr">
        <is>
          <t>Markup %</t>
        </is>
      </c>
      <c r="G1" t="inlineStr">
        <is>
          <t>Sell Price</t>
        </is>
      </c>
      <c r="H1" t="inlineStr">
        <is>
          <t>Margin</t>
        </is>
      </c>
      <c r="I1" t="inlineStr">
        <is>
          <t>Supplier Lead Time</t>
        </is>
      </c>
      <c r="J1" t="inlineStr">
        <is>
          <t>Supplier Reliability</t>
        </is>
      </c>
    </row>
    <row r="2">
      <c r="A2" t="inlineStr">
        <is>
          <t>SKU001</t>
        </is>
      </c>
      <c r="B2" t="inlineStr">
        <is>
          <t>Widget Alpha</t>
        </is>
      </c>
      <c r="C2" t="inlineStr">
        <is>
          <t>Widgets</t>
        </is>
      </c>
      <c r="D2" t="inlineStr">
        <is>
          <t>SUP01</t>
        </is>
      </c>
      <c r="E2" t="n">
        <v>12.5</v>
      </c>
      <c r="F2" t="n">
        <v>0.6</v>
      </c>
      <c r="G2">
        <f>ROUND(E2*(1+F2),2)</f>
        <v/>
      </c>
      <c r="H2">
        <f>G2-E2</f>
        <v/>
      </c>
      <c r="I2">
        <f>IFERROR(INDEX(Suppliers!D:D,MATCH(D2,Suppliers!A:A,0)),"N/A")</f>
        <v/>
      </c>
      <c r="J2">
        <f>IFERROR(INDEX(Suppliers!E:E,MATCH(D2,Suppliers!A:A,0)),0)</f>
        <v/>
      </c>
    </row>
    <row r="3">
      <c r="A3" t="inlineStr">
        <is>
          <t>SKU002</t>
        </is>
      </c>
      <c r="B3" t="inlineStr">
        <is>
          <t>Widget Beta</t>
        </is>
      </c>
      <c r="C3" t="inlineStr">
        <is>
          <t>Widgets</t>
        </is>
      </c>
      <c r="D3" t="inlineStr">
        <is>
          <t>SUP01</t>
        </is>
      </c>
      <c r="E3" t="n">
        <v>18</v>
      </c>
      <c r="F3" t="n">
        <v>0.55</v>
      </c>
      <c r="G3">
        <f>ROUND(E3*(1+F3),2)</f>
        <v/>
      </c>
      <c r="H3">
        <f>G3-E3</f>
        <v/>
      </c>
      <c r="I3">
        <f>IFERROR(INDEX(Suppliers!D:D,MATCH(D3,Suppliers!A:A,0)),"N/A")</f>
        <v/>
      </c>
      <c r="J3">
        <f>IFERROR(INDEX(Suppliers!E:E,MATCH(D3,Suppliers!A:A,0)),0)</f>
        <v/>
      </c>
    </row>
    <row r="4">
      <c r="A4" t="inlineStr">
        <is>
          <t>SKU003</t>
        </is>
      </c>
      <c r="B4" t="inlineStr">
        <is>
          <t>Gadget Gamma</t>
        </is>
      </c>
      <c r="C4" t="inlineStr">
        <is>
          <t>Gadgets</t>
        </is>
      </c>
      <c r="D4" t="inlineStr">
        <is>
          <t>SUP02</t>
        </is>
      </c>
      <c r="E4" t="n">
        <v>35</v>
      </c>
      <c r="F4" t="n">
        <v>0.45</v>
      </c>
      <c r="G4">
        <f>ROUND(E4*(1+F4),2)</f>
        <v/>
      </c>
      <c r="H4">
        <f>G4-E4</f>
        <v/>
      </c>
      <c r="I4">
        <f>IFERROR(INDEX(Suppliers!D:D,MATCH(D4,Suppliers!A:A,0)),"N/A")</f>
        <v/>
      </c>
      <c r="J4">
        <f>IFERROR(INDEX(Suppliers!E:E,MATCH(D4,Suppliers!A:A,0)),0)</f>
        <v/>
      </c>
    </row>
    <row r="5">
      <c r="A5" t="inlineStr">
        <is>
          <t>SKU004</t>
        </is>
      </c>
      <c r="B5" t="inlineStr">
        <is>
          <t>Gadget Delta</t>
        </is>
      </c>
      <c r="C5" t="inlineStr">
        <is>
          <t>Gadgets</t>
        </is>
      </c>
      <c r="D5" t="inlineStr">
        <is>
          <t>SUP03</t>
        </is>
      </c>
      <c r="E5" t="n">
        <v>28</v>
      </c>
      <c r="F5" t="n">
        <v>0.5</v>
      </c>
      <c r="G5">
        <f>ROUND(E5*(1+F5),2)</f>
        <v/>
      </c>
      <c r="H5">
        <f>G5-E5</f>
        <v/>
      </c>
      <c r="I5">
        <f>IFERROR(INDEX(Suppliers!D:D,MATCH(D5,Suppliers!A:A,0)),"N/A")</f>
        <v/>
      </c>
      <c r="J5">
        <f>IFERROR(INDEX(Suppliers!E:E,MATCH(D5,Suppliers!A:A,0)),0)</f>
        <v/>
      </c>
    </row>
    <row r="6">
      <c r="A6" t="inlineStr">
        <is>
          <t>SKU005</t>
        </is>
      </c>
      <c r="B6" t="inlineStr">
        <is>
          <t>Tool Epsilon</t>
        </is>
      </c>
      <c r="C6" t="inlineStr">
        <is>
          <t>Tools</t>
        </is>
      </c>
      <c r="D6" t="inlineStr">
        <is>
          <t>SUP04</t>
        </is>
      </c>
      <c r="E6" t="n">
        <v>55</v>
      </c>
      <c r="F6" t="n">
        <v>0.4</v>
      </c>
      <c r="G6">
        <f>ROUND(E6*(1+F6),2)</f>
        <v/>
      </c>
      <c r="H6">
        <f>G6-E6</f>
        <v/>
      </c>
      <c r="I6">
        <f>IFERROR(INDEX(Suppliers!D:D,MATCH(D6,Suppliers!A:A,0)),"N/A")</f>
        <v/>
      </c>
      <c r="J6">
        <f>IFERROR(INDEX(Suppliers!E:E,MATCH(D6,Suppliers!A:A,0)),0)</f>
        <v/>
      </c>
    </row>
    <row r="7">
      <c r="A7" t="inlineStr">
        <is>
          <t>SKU006</t>
        </is>
      </c>
      <c r="B7" t="inlineStr">
        <is>
          <t>Tool Zeta</t>
        </is>
      </c>
      <c r="C7" t="inlineStr">
        <is>
          <t>Tools</t>
        </is>
      </c>
      <c r="D7" t="inlineStr">
        <is>
          <t>SUP02</t>
        </is>
      </c>
      <c r="E7" t="n">
        <v>42</v>
      </c>
      <c r="F7" t="n">
        <v>0.42</v>
      </c>
      <c r="G7">
        <f>ROUND(E7*(1+F7),2)</f>
        <v/>
      </c>
      <c r="H7">
        <f>G7-E7</f>
        <v/>
      </c>
      <c r="I7">
        <f>IFERROR(INDEX(Suppliers!D:D,MATCH(D7,Suppliers!A:A,0)),"N/A")</f>
        <v/>
      </c>
      <c r="J7">
        <f>IFERROR(INDEX(Suppliers!E:E,MATCH(D7,Suppliers!A:A,0)),0)</f>
        <v/>
      </c>
    </row>
    <row r="8">
      <c r="A8" t="inlineStr">
        <is>
          <t>SKU007</t>
        </is>
      </c>
      <c r="B8" t="inlineStr">
        <is>
          <t>Part Eta</t>
        </is>
      </c>
      <c r="C8" t="inlineStr">
        <is>
          <t>Parts</t>
        </is>
      </c>
      <c r="D8" t="inlineStr">
        <is>
          <t>SUP05</t>
        </is>
      </c>
      <c r="E8" t="n">
        <v>8.5</v>
      </c>
      <c r="F8" t="n">
        <v>0.7</v>
      </c>
      <c r="G8">
        <f>ROUND(E8*(1+F8),2)</f>
        <v/>
      </c>
      <c r="H8">
        <f>G8-E8</f>
        <v/>
      </c>
      <c r="I8">
        <f>IFERROR(INDEX(Suppliers!D:D,MATCH(D8,Suppliers!A:A,0)),"N/A")</f>
        <v/>
      </c>
      <c r="J8">
        <f>IFERROR(INDEX(Suppliers!E:E,MATCH(D8,Suppliers!A:A,0)),0)</f>
        <v/>
      </c>
    </row>
    <row r="9">
      <c r="A9" t="inlineStr">
        <is>
          <t>SKU008</t>
        </is>
      </c>
      <c r="B9" t="inlineStr">
        <is>
          <t>Part Theta</t>
        </is>
      </c>
      <c r="C9" t="inlineStr">
        <is>
          <t>Parts</t>
        </is>
      </c>
      <c r="D9" t="inlineStr">
        <is>
          <t>SUP03</t>
        </is>
      </c>
      <c r="E9" t="n">
        <v>6</v>
      </c>
      <c r="F9" t="n">
        <v>0.75</v>
      </c>
      <c r="G9">
        <f>ROUND(E9*(1+F9),2)</f>
        <v/>
      </c>
      <c r="H9">
        <f>G9-E9</f>
        <v/>
      </c>
      <c r="I9">
        <f>IFERROR(INDEX(Suppliers!D:D,MATCH(D9,Suppliers!A:A,0)),"N/A")</f>
        <v/>
      </c>
      <c r="J9">
        <f>IFERROR(INDEX(Suppliers!E:E,MATCH(D9,Suppliers!A:A,0)),0)</f>
        <v/>
      </c>
    </row>
    <row r="10">
      <c r="A10" t="inlineStr">
        <is>
          <t>SKU009</t>
        </is>
      </c>
      <c r="B10" t="inlineStr">
        <is>
          <t>Widget Iota</t>
        </is>
      </c>
      <c r="C10" t="inlineStr">
        <is>
          <t>Widgets</t>
        </is>
      </c>
      <c r="D10" t="inlineStr">
        <is>
          <t>SUP04</t>
        </is>
      </c>
      <c r="E10" t="n">
        <v>22</v>
      </c>
      <c r="F10" t="n">
        <v>0.52</v>
      </c>
      <c r="G10">
        <f>ROUND(E10*(1+F10),2)</f>
        <v/>
      </c>
      <c r="H10">
        <f>G10-E10</f>
        <v/>
      </c>
      <c r="I10">
        <f>IFERROR(INDEX(Suppliers!D:D,MATCH(D10,Suppliers!A:A,0)),"N/A")</f>
        <v/>
      </c>
      <c r="J10">
        <f>IFERROR(INDEX(Suppliers!E:E,MATCH(D10,Suppliers!A:A,0)),0)</f>
        <v/>
      </c>
    </row>
    <row r="11">
      <c r="A11" t="inlineStr">
        <is>
          <t>SKU010</t>
        </is>
      </c>
      <c r="B11" t="inlineStr">
        <is>
          <t>Gadget Kappa</t>
        </is>
      </c>
      <c r="C11" t="inlineStr">
        <is>
          <t>Gadgets</t>
        </is>
      </c>
      <c r="D11" t="inlineStr">
        <is>
          <t>SUP05</t>
        </is>
      </c>
      <c r="E11" t="n">
        <v>40</v>
      </c>
      <c r="F11" t="n">
        <v>0.48</v>
      </c>
      <c r="G11">
        <f>ROUND(E11*(1+F11),2)</f>
        <v/>
      </c>
      <c r="H11">
        <f>G11-E11</f>
        <v/>
      </c>
      <c r="I11">
        <f>IFERROR(INDEX(Suppliers!D:D,MATCH(D11,Suppliers!A:A,0)),"N/A")</f>
        <v/>
      </c>
      <c r="J11">
        <f>IFERROR(INDEX(Suppliers!E:E,MATCH(D11,Suppliers!A:A,0)),0)</f>
        <v/>
      </c>
    </row>
    <row r="12">
      <c r="A12" t="inlineStr">
        <is>
          <t>SKU011</t>
        </is>
      </c>
      <c r="B12" t="inlineStr">
        <is>
          <t>Tool Lambda</t>
        </is>
      </c>
      <c r="C12" t="inlineStr">
        <is>
          <t>Tools</t>
        </is>
      </c>
      <c r="D12" t="inlineStr">
        <is>
          <t>SUP01</t>
        </is>
      </c>
      <c r="E12" t="n">
        <v>65</v>
      </c>
      <c r="F12" t="n">
        <v>0.38</v>
      </c>
      <c r="G12">
        <f>ROUND(E12*(1+F12),2)</f>
        <v/>
      </c>
      <c r="H12">
        <f>G12-E12</f>
        <v/>
      </c>
      <c r="I12">
        <f>IFERROR(INDEX(Suppliers!D:D,MATCH(D12,Suppliers!A:A,0)),"N/A")</f>
        <v/>
      </c>
      <c r="J12">
        <f>IFERROR(INDEX(Suppliers!E:E,MATCH(D12,Suppliers!A:A,0)),0)</f>
        <v/>
      </c>
    </row>
    <row r="13">
      <c r="A13" t="inlineStr">
        <is>
          <t>SKU012</t>
        </is>
      </c>
      <c r="B13" t="inlineStr">
        <is>
          <t>Part Mu</t>
        </is>
      </c>
      <c r="C13" t="inlineStr">
        <is>
          <t>Parts</t>
        </is>
      </c>
      <c r="D13" t="inlineStr">
        <is>
          <t>SUP03</t>
        </is>
      </c>
      <c r="E13" t="n">
        <v>4.5</v>
      </c>
      <c r="F13" t="n">
        <v>0.8</v>
      </c>
      <c r="G13">
        <f>ROUND(E13*(1+F13),2)</f>
        <v/>
      </c>
      <c r="H13">
        <f>G13-E13</f>
        <v/>
      </c>
      <c r="I13">
        <f>IFERROR(INDEX(Suppliers!D:D,MATCH(D13,Suppliers!A:A,0)),"N/A")</f>
        <v/>
      </c>
      <c r="J13">
        <f>IFERROR(INDEX(Suppliers!E:E,MATCH(D13,Suppliers!A:A,0)),0)</f>
        <v/>
      </c>
    </row>
    <row r="15">
      <c r="A15" t="inlineStr">
        <is>
          <t>Category</t>
        </is>
      </c>
      <c r="B15" t="inlineStr">
        <is>
          <t>Avg Cost</t>
        </is>
      </c>
      <c r="C15" t="inlineStr">
        <is>
          <t>Avg Sell</t>
        </is>
      </c>
      <c r="D15" t="inlineStr">
        <is>
          <t>Avg Margin</t>
        </is>
      </c>
      <c r="E15" t="inlineStr">
        <is>
          <t>Count</t>
        </is>
      </c>
    </row>
    <row r="16">
      <c r="A16" t="inlineStr">
        <is>
          <t>Widgets</t>
        </is>
      </c>
      <c r="B16">
        <f>AVERAGEIF(C2:C13,A16,E2:E13)</f>
        <v/>
      </c>
      <c r="C16">
        <f>AVERAGEIF(C2:C13,A16,G2:G13)</f>
        <v/>
      </c>
      <c r="D16">
        <f>C16-B16</f>
        <v/>
      </c>
      <c r="E16">
        <f>COUNTIF(C2:C13,A16)</f>
        <v/>
      </c>
    </row>
    <row r="17">
      <c r="A17" t="inlineStr">
        <is>
          <t>Gadgets</t>
        </is>
      </c>
      <c r="B17">
        <f>AVERAGEIF(C2:C13,A17,E2:E13)</f>
        <v/>
      </c>
      <c r="C17">
        <f>AVERAGEIF(C2:C13,A17,G2:G13)</f>
        <v/>
      </c>
      <c r="D17">
        <f>C17-B17</f>
        <v/>
      </c>
      <c r="E17">
        <f>COUNTIF(C2:C13,A17)</f>
        <v/>
      </c>
    </row>
    <row r="18">
      <c r="A18" t="inlineStr">
        <is>
          <t>Tools</t>
        </is>
      </c>
      <c r="B18">
        <f>AVERAGEIF(C2:C13,A18,E2:E13)</f>
        <v/>
      </c>
      <c r="C18">
        <f>AVERAGEIF(C2:C13,A18,G2:G13)</f>
        <v/>
      </c>
      <c r="D18">
        <f>C18-B18</f>
        <v/>
      </c>
      <c r="E18">
        <f>COUNTIF(C2:C13,A18)</f>
        <v/>
      </c>
    </row>
    <row r="19">
      <c r="A19" t="inlineStr">
        <is>
          <t>Parts</t>
        </is>
      </c>
      <c r="B19">
        <f>AVERAGEIF(C2:C13,A19,E2:E13)</f>
        <v/>
      </c>
      <c r="C19">
        <f>AVERAGEIF(C2:C13,A19,G2:G13)</f>
        <v/>
      </c>
      <c r="D19">
        <f>C19-B19</f>
        <v/>
      </c>
      <c r="E19">
        <f>COUNTIF(C2:C13,A19)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On Hand</t>
        </is>
      </c>
      <c r="C1" t="inlineStr">
        <is>
          <t>Reorder Point</t>
        </is>
      </c>
      <c r="D1" t="inlineStr">
        <is>
          <t>Reorder Qty</t>
        </is>
      </c>
      <c r="E1" t="inlineStr">
        <is>
          <t>Unit Cost (from Catalog)</t>
        </is>
      </c>
      <c r="F1" t="inlineStr">
        <is>
          <t>Inventory Value</t>
        </is>
      </c>
      <c r="G1" t="inlineStr">
        <is>
          <t>Status</t>
        </is>
      </c>
      <c r="H1" t="inlineStr">
        <is>
          <t>Days of Supply</t>
        </is>
      </c>
      <c r="I1" t="inlineStr">
        <is>
          <t>Avg Daily Demand</t>
        </is>
      </c>
    </row>
    <row r="2">
      <c r="A2" t="inlineStr">
        <is>
          <t>SKU001</t>
        </is>
      </c>
      <c r="B2" t="n">
        <v>250</v>
      </c>
      <c r="C2" t="n">
        <v>50</v>
      </c>
      <c r="D2" t="n">
        <v>200</v>
      </c>
      <c r="E2">
        <f>INDEX(Catalog!E:E,MATCH(A2,Catalog!A:A,0))</f>
        <v/>
      </c>
      <c r="F2">
        <f>B2*E2</f>
        <v/>
      </c>
      <c r="G2">
        <f>IF(B2&lt;=C2,"REORDER","OK")</f>
        <v/>
      </c>
      <c r="H2">
        <f>IF(I2&gt;0,ROUND(B2/I2,1),"N/A")</f>
        <v/>
      </c>
      <c r="I2" t="n">
        <v>15</v>
      </c>
    </row>
    <row r="3">
      <c r="A3" t="inlineStr">
        <is>
          <t>SKU002</t>
        </is>
      </c>
      <c r="B3" t="n">
        <v>30</v>
      </c>
      <c r="C3" t="n">
        <v>40</v>
      </c>
      <c r="D3" t="n">
        <v>150</v>
      </c>
      <c r="E3">
        <f>INDEX(Catalog!E:E,MATCH(A3,Catalog!A:A,0))</f>
        <v/>
      </c>
      <c r="F3">
        <f>B3*E3</f>
        <v/>
      </c>
      <c r="G3">
        <f>IF(B3&lt;=C3,"REORDER","OK")</f>
        <v/>
      </c>
      <c r="H3">
        <f>IF(I3&gt;0,ROUND(B3/I3,1),"N/A")</f>
        <v/>
      </c>
      <c r="I3" t="n">
        <v>12</v>
      </c>
    </row>
    <row r="4">
      <c r="A4" t="inlineStr">
        <is>
          <t>SKU003</t>
        </is>
      </c>
      <c r="B4" t="n">
        <v>80</v>
      </c>
      <c r="C4" t="n">
        <v>25</v>
      </c>
      <c r="D4" t="n">
        <v>100</v>
      </c>
      <c r="E4">
        <f>INDEX(Catalog!E:E,MATCH(A4,Catalog!A:A,0))</f>
        <v/>
      </c>
      <c r="F4">
        <f>B4*E4</f>
        <v/>
      </c>
      <c r="G4">
        <f>IF(B4&lt;=C4,"REORDER","OK")</f>
        <v/>
      </c>
      <c r="H4">
        <f>IF(I4&gt;0,ROUND(B4/I4,1),"N/A")</f>
        <v/>
      </c>
      <c r="I4" t="n">
        <v>8</v>
      </c>
    </row>
    <row r="5">
      <c r="A5" t="inlineStr">
        <is>
          <t>SKU004</t>
        </is>
      </c>
      <c r="B5" t="n">
        <v>120</v>
      </c>
      <c r="C5" t="n">
        <v>30</v>
      </c>
      <c r="D5" t="n">
        <v>100</v>
      </c>
      <c r="E5">
        <f>INDEX(Catalog!E:E,MATCH(A5,Catalog!A:A,0))</f>
        <v/>
      </c>
      <c r="F5">
        <f>B5*E5</f>
        <v/>
      </c>
      <c r="G5">
        <f>IF(B5&lt;=C5,"REORDER","OK")</f>
        <v/>
      </c>
      <c r="H5">
        <f>IF(I5&gt;0,ROUND(B5/I5,1),"N/A")</f>
        <v/>
      </c>
      <c r="I5" t="n">
        <v>10</v>
      </c>
    </row>
    <row r="6">
      <c r="A6" t="inlineStr">
        <is>
          <t>SKU005</t>
        </is>
      </c>
      <c r="B6" t="n">
        <v>15</v>
      </c>
      <c r="C6" t="n">
        <v>20</v>
      </c>
      <c r="D6" t="n">
        <v>50</v>
      </c>
      <c r="E6">
        <f>INDEX(Catalog!E:E,MATCH(A6,Catalog!A:A,0))</f>
        <v/>
      </c>
      <c r="F6">
        <f>B6*E6</f>
        <v/>
      </c>
      <c r="G6">
        <f>IF(B6&lt;=C6,"REORDER","OK")</f>
        <v/>
      </c>
      <c r="H6">
        <f>IF(I6&gt;0,ROUND(B6/I6,1),"N/A")</f>
        <v/>
      </c>
      <c r="I6" t="n">
        <v>3</v>
      </c>
    </row>
    <row r="7">
      <c r="A7" t="inlineStr">
        <is>
          <t>SKU006</t>
        </is>
      </c>
      <c r="B7" t="n">
        <v>60</v>
      </c>
      <c r="C7" t="n">
        <v>35</v>
      </c>
      <c r="D7" t="n">
        <v>80</v>
      </c>
      <c r="E7">
        <f>INDEX(Catalog!E:E,MATCH(A7,Catalog!A:A,0))</f>
        <v/>
      </c>
      <c r="F7">
        <f>B7*E7</f>
        <v/>
      </c>
      <c r="G7">
        <f>IF(B7&lt;=C7,"REORDER","OK")</f>
        <v/>
      </c>
      <c r="H7">
        <f>IF(I7&gt;0,ROUND(B7/I7,1),"N/A")</f>
        <v/>
      </c>
      <c r="I7" t="n">
        <v>7</v>
      </c>
    </row>
    <row r="8">
      <c r="A8" t="inlineStr">
        <is>
          <t>SKU007</t>
        </is>
      </c>
      <c r="B8" t="n">
        <v>500</v>
      </c>
      <c r="C8" t="n">
        <v>100</v>
      </c>
      <c r="D8" t="n">
        <v>300</v>
      </c>
      <c r="E8">
        <f>INDEX(Catalog!E:E,MATCH(A8,Catalog!A:A,0))</f>
        <v/>
      </c>
      <c r="F8">
        <f>B8*E8</f>
        <v/>
      </c>
      <c r="G8">
        <f>IF(B8&lt;=C8,"REORDER","OK")</f>
        <v/>
      </c>
      <c r="H8">
        <f>IF(I8&gt;0,ROUND(B8/I8,1),"N/A")</f>
        <v/>
      </c>
      <c r="I8" t="n">
        <v>25</v>
      </c>
    </row>
    <row r="9">
      <c r="A9" t="inlineStr">
        <is>
          <t>SKU008</t>
        </is>
      </c>
      <c r="B9" t="n">
        <v>800</v>
      </c>
      <c r="C9" t="n">
        <v>150</v>
      </c>
      <c r="D9" t="n">
        <v>500</v>
      </c>
      <c r="E9">
        <f>INDEX(Catalog!E:E,MATCH(A9,Catalog!A:A,0))</f>
        <v/>
      </c>
      <c r="F9">
        <f>B9*E9</f>
        <v/>
      </c>
      <c r="G9">
        <f>IF(B9&lt;=C9,"REORDER","OK")</f>
        <v/>
      </c>
      <c r="H9">
        <f>IF(I9&gt;0,ROUND(B9/I9,1),"N/A")</f>
        <v/>
      </c>
      <c r="I9" t="n">
        <v>40</v>
      </c>
    </row>
    <row r="10">
      <c r="A10" t="inlineStr">
        <is>
          <t>SKU009</t>
        </is>
      </c>
      <c r="B10" t="n">
        <v>45</v>
      </c>
      <c r="C10" t="n">
        <v>30</v>
      </c>
      <c r="D10" t="n">
        <v>100</v>
      </c>
      <c r="E10">
        <f>INDEX(Catalog!E:E,MATCH(A10,Catalog!A:A,0))</f>
        <v/>
      </c>
      <c r="F10">
        <f>B10*E10</f>
        <v/>
      </c>
      <c r="G10">
        <f>IF(B10&lt;=C10,"REORDER","OK")</f>
        <v/>
      </c>
      <c r="H10">
        <f>IF(I10&gt;0,ROUND(B10/I10,1),"N/A")</f>
        <v/>
      </c>
      <c r="I10" t="n">
        <v>6</v>
      </c>
    </row>
    <row r="11">
      <c r="A11" t="inlineStr">
        <is>
          <t>SKU010</t>
        </is>
      </c>
      <c r="B11" t="n">
        <v>20</v>
      </c>
      <c r="C11" t="n">
        <v>15</v>
      </c>
      <c r="D11" t="n">
        <v>60</v>
      </c>
      <c r="E11">
        <f>INDEX(Catalog!E:E,MATCH(A11,Catalog!A:A,0))</f>
        <v/>
      </c>
      <c r="F11">
        <f>B11*E11</f>
        <v/>
      </c>
      <c r="G11">
        <f>IF(B11&lt;=C11,"REORDER","OK")</f>
        <v/>
      </c>
      <c r="H11">
        <f>IF(I11&gt;0,ROUND(B11/I11,1),"N/A")</f>
        <v/>
      </c>
      <c r="I11" t="n">
        <v>4</v>
      </c>
    </row>
    <row r="12">
      <c r="A12" t="inlineStr">
        <is>
          <t>SKU011</t>
        </is>
      </c>
      <c r="B12" t="n">
        <v>10</v>
      </c>
      <c r="C12" t="n">
        <v>10</v>
      </c>
      <c r="D12" t="n">
        <v>30</v>
      </c>
      <c r="E12">
        <f>INDEX(Catalog!E:E,MATCH(A12,Catalog!A:A,0))</f>
        <v/>
      </c>
      <c r="F12">
        <f>B12*E12</f>
        <v/>
      </c>
      <c r="G12">
        <f>IF(B12&lt;=C12,"REORDER","OK")</f>
        <v/>
      </c>
      <c r="H12">
        <f>IF(I12&gt;0,ROUND(B12/I12,1),"N/A")</f>
        <v/>
      </c>
      <c r="I12" t="n">
        <v>2</v>
      </c>
    </row>
    <row r="13">
      <c r="A13" t="inlineStr">
        <is>
          <t>SKU012</t>
        </is>
      </c>
      <c r="B13" t="n">
        <v>1000</v>
      </c>
      <c r="C13" t="n">
        <v>200</v>
      </c>
      <c r="D13" t="n">
        <v>600</v>
      </c>
      <c r="E13">
        <f>INDEX(Catalog!E:E,MATCH(A13,Catalog!A:A,0))</f>
        <v/>
      </c>
      <c r="F13">
        <f>B13*E13</f>
        <v/>
      </c>
      <c r="G13">
        <f>IF(B13&lt;=C13,"REORDER","OK")</f>
        <v/>
      </c>
      <c r="H13">
        <f>IF(I13&gt;0,ROUND(B13/I13,1),"N/A")</f>
        <v/>
      </c>
      <c r="I13" t="n">
        <v>50</v>
      </c>
    </row>
    <row r="15">
      <c r="A15" t="inlineStr">
        <is>
          <t>Total Inventory Value</t>
        </is>
      </c>
      <c r="B15">
        <f>SUM(F2:F13)</f>
        <v/>
      </c>
    </row>
    <row r="16">
      <c r="A16" t="inlineStr">
        <is>
          <t>Items Below Reorder</t>
        </is>
      </c>
      <c r="B16">
        <f>COUNTIF(G2:G13,"REORDER")</f>
        <v/>
      </c>
    </row>
    <row r="17">
      <c r="A17" t="inlineStr">
        <is>
          <t>Reorder Value</t>
        </is>
      </c>
      <c r="B17">
        <f>SUMPRODUCT((B2:B13&lt;=C2:C13)*D2:D13*E2:E13)</f>
        <v/>
      </c>
    </row>
    <row r="18">
      <c r="A18" t="inlineStr">
        <is>
          <t>Avg Days of Supply</t>
        </is>
      </c>
      <c r="B18">
        <f>IFERROR(AVERAGE(H2:H13),0)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SKU</t>
        </is>
      </c>
      <c r="D1" t="inlineStr">
        <is>
          <t>Qty</t>
        </is>
      </c>
      <c r="E1" t="inlineStr">
        <is>
          <t>Sell Price (looked up)</t>
        </is>
      </c>
      <c r="F1" t="inlineStr">
        <is>
          <t>Unit Cost (looked up)</t>
        </is>
      </c>
      <c r="G1" t="inlineStr">
        <is>
          <t>Revenue</t>
        </is>
      </c>
      <c r="H1" t="inlineStr">
        <is>
          <t>COGS</t>
        </is>
      </c>
      <c r="I1" t="inlineStr">
        <is>
          <t>Gross Profit</t>
        </is>
      </c>
      <c r="J1" t="inlineStr">
        <is>
          <t>GP Margin</t>
        </is>
      </c>
      <c r="K1" t="inlineStr">
        <is>
          <t>Category</t>
        </is>
      </c>
    </row>
    <row r="2">
      <c r="A2" t="inlineStr">
        <is>
          <t>ORD001</t>
        </is>
      </c>
      <c r="B2" s="1" t="n">
        <v>45662</v>
      </c>
      <c r="C2" t="inlineStr">
        <is>
          <t>SKU001</t>
        </is>
      </c>
      <c r="D2" t="n">
        <v>20</v>
      </c>
      <c r="E2">
        <f>INDEX(Catalog!G:G,MATCH(C2,Catalog!A:A,0))</f>
        <v/>
      </c>
      <c r="F2">
        <f>INDEX(Catalog!E:E,MATCH(C2,Catalog!A:A,0))</f>
        <v/>
      </c>
      <c r="G2">
        <f>D2*E2</f>
        <v/>
      </c>
      <c r="H2">
        <f>D2*F2</f>
        <v/>
      </c>
      <c r="I2">
        <f>G2-H2</f>
        <v/>
      </c>
      <c r="J2">
        <f>IF(G2&gt;0,I2/G2,0)</f>
        <v/>
      </c>
      <c r="K2">
        <f>INDEX(Catalog!C:C,MATCH(C2,Catalog!A:A,0))</f>
        <v/>
      </c>
    </row>
    <row r="3">
      <c r="A3" t="inlineStr">
        <is>
          <t>ORD002</t>
        </is>
      </c>
      <c r="B3" s="1" t="n">
        <v>45665</v>
      </c>
      <c r="C3" t="inlineStr">
        <is>
          <t>SKU003</t>
        </is>
      </c>
      <c r="D3" t="n">
        <v>5</v>
      </c>
      <c r="E3">
        <f>INDEX(Catalog!G:G,MATCH(C3,Catalog!A:A,0))</f>
        <v/>
      </c>
      <c r="F3">
        <f>INDEX(Catalog!E:E,MATCH(C3,Catalog!A:A,0))</f>
        <v/>
      </c>
      <c r="G3">
        <f>D3*E3</f>
        <v/>
      </c>
      <c r="H3">
        <f>D3*F3</f>
        <v/>
      </c>
      <c r="I3">
        <f>G3-H3</f>
        <v/>
      </c>
      <c r="J3">
        <f>IF(G3&gt;0,I3/G3,0)</f>
        <v/>
      </c>
      <c r="K3">
        <f>INDEX(Catalog!C:C,MATCH(C3,Catalog!A:A,0))</f>
        <v/>
      </c>
    </row>
    <row r="4">
      <c r="A4" t="inlineStr">
        <is>
          <t>ORD003</t>
        </is>
      </c>
      <c r="B4" s="1" t="n">
        <v>45669</v>
      </c>
      <c r="C4" t="inlineStr">
        <is>
          <t>SKU007</t>
        </is>
      </c>
      <c r="D4" t="n">
        <v>50</v>
      </c>
      <c r="E4">
        <f>INDEX(Catalog!G:G,MATCH(C4,Catalog!A:A,0))</f>
        <v/>
      </c>
      <c r="F4">
        <f>INDEX(Catalog!E:E,MATCH(C4,Catalog!A:A,0))</f>
        <v/>
      </c>
      <c r="G4">
        <f>D4*E4</f>
        <v/>
      </c>
      <c r="H4">
        <f>D4*F4</f>
        <v/>
      </c>
      <c r="I4">
        <f>G4-H4</f>
        <v/>
      </c>
      <c r="J4">
        <f>IF(G4&gt;0,I4/G4,0)</f>
        <v/>
      </c>
      <c r="K4">
        <f>INDEX(Catalog!C:C,MATCH(C4,Catalog!A:A,0))</f>
        <v/>
      </c>
    </row>
    <row r="5">
      <c r="A5" t="inlineStr">
        <is>
          <t>ORD004</t>
        </is>
      </c>
      <c r="B5" s="1" t="n">
        <v>45672</v>
      </c>
      <c r="C5" t="inlineStr">
        <is>
          <t>SKU002</t>
        </is>
      </c>
      <c r="D5" t="n">
        <v>15</v>
      </c>
      <c r="E5">
        <f>INDEX(Catalog!G:G,MATCH(C5,Catalog!A:A,0))</f>
        <v/>
      </c>
      <c r="F5">
        <f>INDEX(Catalog!E:E,MATCH(C5,Catalog!A:A,0))</f>
        <v/>
      </c>
      <c r="G5">
        <f>D5*E5</f>
        <v/>
      </c>
      <c r="H5">
        <f>D5*F5</f>
        <v/>
      </c>
      <c r="I5">
        <f>G5-H5</f>
        <v/>
      </c>
      <c r="J5">
        <f>IF(G5&gt;0,I5/G5,0)</f>
        <v/>
      </c>
      <c r="K5">
        <f>INDEX(Catalog!C:C,MATCH(C5,Catalog!A:A,0))</f>
        <v/>
      </c>
    </row>
    <row r="6">
      <c r="A6" t="inlineStr">
        <is>
          <t>ORD005</t>
        </is>
      </c>
      <c r="B6" s="1" t="n">
        <v>45677</v>
      </c>
      <c r="C6" t="inlineStr">
        <is>
          <t>SKU005</t>
        </is>
      </c>
      <c r="D6" t="n">
        <v>3</v>
      </c>
      <c r="E6">
        <f>INDEX(Catalog!G:G,MATCH(C6,Catalog!A:A,0))</f>
        <v/>
      </c>
      <c r="F6">
        <f>INDEX(Catalog!E:E,MATCH(C6,Catalog!A:A,0))</f>
        <v/>
      </c>
      <c r="G6">
        <f>D6*E6</f>
        <v/>
      </c>
      <c r="H6">
        <f>D6*F6</f>
        <v/>
      </c>
      <c r="I6">
        <f>G6-H6</f>
        <v/>
      </c>
      <c r="J6">
        <f>IF(G6&gt;0,I6/G6,0)</f>
        <v/>
      </c>
      <c r="K6">
        <f>INDEX(Catalog!C:C,MATCH(C6,Catalog!A:A,0))</f>
        <v/>
      </c>
    </row>
    <row r="7">
      <c r="A7" t="inlineStr">
        <is>
          <t>ORD006</t>
        </is>
      </c>
      <c r="B7" s="1" t="n">
        <v>45679</v>
      </c>
      <c r="C7" t="inlineStr">
        <is>
          <t>SKU009</t>
        </is>
      </c>
      <c r="D7" t="n">
        <v>10</v>
      </c>
      <c r="E7">
        <f>INDEX(Catalog!G:G,MATCH(C7,Catalog!A:A,0))</f>
        <v/>
      </c>
      <c r="F7">
        <f>INDEX(Catalog!E:E,MATCH(C7,Catalog!A:A,0))</f>
        <v/>
      </c>
      <c r="G7">
        <f>D7*E7</f>
        <v/>
      </c>
      <c r="H7">
        <f>D7*F7</f>
        <v/>
      </c>
      <c r="I7">
        <f>G7-H7</f>
        <v/>
      </c>
      <c r="J7">
        <f>IF(G7&gt;0,I7/G7,0)</f>
        <v/>
      </c>
      <c r="K7">
        <f>INDEX(Catalog!C:C,MATCH(C7,Catalog!A:A,0))</f>
        <v/>
      </c>
    </row>
    <row r="8">
      <c r="A8" t="inlineStr">
        <is>
          <t>ORD007</t>
        </is>
      </c>
      <c r="B8" s="1" t="n">
        <v>45689</v>
      </c>
      <c r="C8" t="inlineStr">
        <is>
          <t>SKU004</t>
        </is>
      </c>
      <c r="D8" t="n">
        <v>8</v>
      </c>
      <c r="E8">
        <f>INDEX(Catalog!G:G,MATCH(C8,Catalog!A:A,0))</f>
        <v/>
      </c>
      <c r="F8">
        <f>INDEX(Catalog!E:E,MATCH(C8,Catalog!A:A,0))</f>
        <v/>
      </c>
      <c r="G8">
        <f>D8*E8</f>
        <v/>
      </c>
      <c r="H8">
        <f>D8*F8</f>
        <v/>
      </c>
      <c r="I8">
        <f>G8-H8</f>
        <v/>
      </c>
      <c r="J8">
        <f>IF(G8&gt;0,I8/G8,0)</f>
        <v/>
      </c>
      <c r="K8">
        <f>INDEX(Catalog!C:C,MATCH(C8,Catalog!A:A,0))</f>
        <v/>
      </c>
    </row>
    <row r="9">
      <c r="A9" t="inlineStr">
        <is>
          <t>ORD008</t>
        </is>
      </c>
      <c r="B9" s="1" t="n">
        <v>45693</v>
      </c>
      <c r="C9" t="inlineStr">
        <is>
          <t>SKU008</t>
        </is>
      </c>
      <c r="D9" t="n">
        <v>100</v>
      </c>
      <c r="E9">
        <f>INDEX(Catalog!G:G,MATCH(C9,Catalog!A:A,0))</f>
        <v/>
      </c>
      <c r="F9">
        <f>INDEX(Catalog!E:E,MATCH(C9,Catalog!A:A,0))</f>
        <v/>
      </c>
      <c r="G9">
        <f>D9*E9</f>
        <v/>
      </c>
      <c r="H9">
        <f>D9*F9</f>
        <v/>
      </c>
      <c r="I9">
        <f>G9-H9</f>
        <v/>
      </c>
      <c r="J9">
        <f>IF(G9&gt;0,I9/G9,0)</f>
        <v/>
      </c>
      <c r="K9">
        <f>INDEX(Catalog!C:C,MATCH(C9,Catalog!A:A,0))</f>
        <v/>
      </c>
    </row>
    <row r="10">
      <c r="A10" t="inlineStr">
        <is>
          <t>ORD009</t>
        </is>
      </c>
      <c r="B10" s="1" t="n">
        <v>45698</v>
      </c>
      <c r="C10" t="inlineStr">
        <is>
          <t>SKU006</t>
        </is>
      </c>
      <c r="D10" t="n">
        <v>12</v>
      </c>
      <c r="E10">
        <f>INDEX(Catalog!G:G,MATCH(C10,Catalog!A:A,0))</f>
        <v/>
      </c>
      <c r="F10">
        <f>INDEX(Catalog!E:E,MATCH(C10,Catalog!A:A,0))</f>
        <v/>
      </c>
      <c r="G10">
        <f>D10*E10</f>
        <v/>
      </c>
      <c r="H10">
        <f>D10*F10</f>
        <v/>
      </c>
      <c r="I10">
        <f>G10-H10</f>
        <v/>
      </c>
      <c r="J10">
        <f>IF(G10&gt;0,I10/G10,0)</f>
        <v/>
      </c>
      <c r="K10">
        <f>INDEX(Catalog!C:C,MATCH(C10,Catalog!A:A,0))</f>
        <v/>
      </c>
    </row>
    <row r="11">
      <c r="A11" t="inlineStr">
        <is>
          <t>ORD010</t>
        </is>
      </c>
      <c r="B11" s="1" t="n">
        <v>45702</v>
      </c>
      <c r="C11" t="inlineStr">
        <is>
          <t>SKU010</t>
        </is>
      </c>
      <c r="D11" t="n">
        <v>4</v>
      </c>
      <c r="E11">
        <f>INDEX(Catalog!G:G,MATCH(C11,Catalog!A:A,0))</f>
        <v/>
      </c>
      <c r="F11">
        <f>INDEX(Catalog!E:E,MATCH(C11,Catalog!A:A,0))</f>
        <v/>
      </c>
      <c r="G11">
        <f>D11*E11</f>
        <v/>
      </c>
      <c r="H11">
        <f>D11*F11</f>
        <v/>
      </c>
      <c r="I11">
        <f>G11-H11</f>
        <v/>
      </c>
      <c r="J11">
        <f>IF(G11&gt;0,I11/G11,0)</f>
        <v/>
      </c>
      <c r="K11">
        <f>INDEX(Catalog!C:C,MATCH(C11,Catalog!A:A,0))</f>
        <v/>
      </c>
    </row>
    <row r="12">
      <c r="A12" t="inlineStr">
        <is>
          <t>ORD011</t>
        </is>
      </c>
      <c r="B12" s="1" t="n">
        <v>45706</v>
      </c>
      <c r="C12" t="inlineStr">
        <is>
          <t>SKU001</t>
        </is>
      </c>
      <c r="D12" t="n">
        <v>30</v>
      </c>
      <c r="E12">
        <f>INDEX(Catalog!G:G,MATCH(C12,Catalog!A:A,0))</f>
        <v/>
      </c>
      <c r="F12">
        <f>INDEX(Catalog!E:E,MATCH(C12,Catalog!A:A,0))</f>
        <v/>
      </c>
      <c r="G12">
        <f>D12*E12</f>
        <v/>
      </c>
      <c r="H12">
        <f>D12*F12</f>
        <v/>
      </c>
      <c r="I12">
        <f>G12-H12</f>
        <v/>
      </c>
      <c r="J12">
        <f>IF(G12&gt;0,I12/G12,0)</f>
        <v/>
      </c>
      <c r="K12">
        <f>INDEX(Catalog!C:C,MATCH(C12,Catalog!A:A,0))</f>
        <v/>
      </c>
    </row>
    <row r="13">
      <c r="A13" t="inlineStr">
        <is>
          <t>ORD012</t>
        </is>
      </c>
      <c r="B13" s="1" t="n">
        <v>45710</v>
      </c>
      <c r="C13" t="inlineStr">
        <is>
          <t>SKU011</t>
        </is>
      </c>
      <c r="D13" t="n">
        <v>2</v>
      </c>
      <c r="E13">
        <f>INDEX(Catalog!G:G,MATCH(C13,Catalog!A:A,0))</f>
        <v/>
      </c>
      <c r="F13">
        <f>INDEX(Catalog!E:E,MATCH(C13,Catalog!A:A,0))</f>
        <v/>
      </c>
      <c r="G13">
        <f>D13*E13</f>
        <v/>
      </c>
      <c r="H13">
        <f>D13*F13</f>
        <v/>
      </c>
      <c r="I13">
        <f>G13-H13</f>
        <v/>
      </c>
      <c r="J13">
        <f>IF(G13&gt;0,I13/G13,0)</f>
        <v/>
      </c>
      <c r="K13">
        <f>INDEX(Catalog!C:C,MATCH(C13,Catalog!A:A,0))</f>
        <v/>
      </c>
    </row>
    <row r="14">
      <c r="A14" t="inlineStr">
        <is>
          <t>ORD013</t>
        </is>
      </c>
      <c r="B14" s="1" t="n">
        <v>45717</v>
      </c>
      <c r="C14" t="inlineStr">
        <is>
          <t>SKU012</t>
        </is>
      </c>
      <c r="D14" t="n">
        <v>200</v>
      </c>
      <c r="E14">
        <f>INDEX(Catalog!G:G,MATCH(C14,Catalog!A:A,0))</f>
        <v/>
      </c>
      <c r="F14">
        <f>INDEX(Catalog!E:E,MATCH(C14,Catalog!A:A,0))</f>
        <v/>
      </c>
      <c r="G14">
        <f>D14*E14</f>
        <v/>
      </c>
      <c r="H14">
        <f>D14*F14</f>
        <v/>
      </c>
      <c r="I14">
        <f>G14-H14</f>
        <v/>
      </c>
      <c r="J14">
        <f>IF(G14&gt;0,I14/G14,0)</f>
        <v/>
      </c>
      <c r="K14">
        <f>INDEX(Catalog!C:C,MATCH(C14,Catalog!A:A,0))</f>
        <v/>
      </c>
    </row>
    <row r="15">
      <c r="A15" t="inlineStr">
        <is>
          <t>ORD014</t>
        </is>
      </c>
      <c r="B15" s="1" t="n">
        <v>45721</v>
      </c>
      <c r="C15" t="inlineStr">
        <is>
          <t>SKU003</t>
        </is>
      </c>
      <c r="D15" t="n">
        <v>7</v>
      </c>
      <c r="E15">
        <f>INDEX(Catalog!G:G,MATCH(C15,Catalog!A:A,0))</f>
        <v/>
      </c>
      <c r="F15">
        <f>INDEX(Catalog!E:E,MATCH(C15,Catalog!A:A,0))</f>
        <v/>
      </c>
      <c r="G15">
        <f>D15*E15</f>
        <v/>
      </c>
      <c r="H15">
        <f>D15*F15</f>
        <v/>
      </c>
      <c r="I15">
        <f>G15-H15</f>
        <v/>
      </c>
      <c r="J15">
        <f>IF(G15&gt;0,I15/G15,0)</f>
        <v/>
      </c>
      <c r="K15">
        <f>INDEX(Catalog!C:C,MATCH(C15,Catalog!A:A,0))</f>
        <v/>
      </c>
    </row>
    <row r="16">
      <c r="A16" t="inlineStr">
        <is>
          <t>ORD015</t>
        </is>
      </c>
      <c r="B16" s="1" t="n">
        <v>45726</v>
      </c>
      <c r="C16" t="inlineStr">
        <is>
          <t>SKU007</t>
        </is>
      </c>
      <c r="D16" t="n">
        <v>40</v>
      </c>
      <c r="E16">
        <f>INDEX(Catalog!G:G,MATCH(C16,Catalog!A:A,0))</f>
        <v/>
      </c>
      <c r="F16">
        <f>INDEX(Catalog!E:E,MATCH(C16,Catalog!A:A,0))</f>
        <v/>
      </c>
      <c r="G16">
        <f>D16*E16</f>
        <v/>
      </c>
      <c r="H16">
        <f>D16*F16</f>
        <v/>
      </c>
      <c r="I16">
        <f>G16-H16</f>
        <v/>
      </c>
      <c r="J16">
        <f>IF(G16&gt;0,I16/G16,0)</f>
        <v/>
      </c>
      <c r="K16">
        <f>INDEX(Catalog!C:C,MATCH(C16,Catalog!A:A,0))</f>
        <v/>
      </c>
    </row>
    <row r="17">
      <c r="A17" t="inlineStr">
        <is>
          <t>ORD016</t>
        </is>
      </c>
      <c r="B17" s="1" t="n">
        <v>45731</v>
      </c>
      <c r="C17" t="inlineStr">
        <is>
          <t>SKU005</t>
        </is>
      </c>
      <c r="D17" t="n">
        <v>5</v>
      </c>
      <c r="E17">
        <f>INDEX(Catalog!G:G,MATCH(C17,Catalog!A:A,0))</f>
        <v/>
      </c>
      <c r="F17">
        <f>INDEX(Catalog!E:E,MATCH(C17,Catalog!A:A,0))</f>
        <v/>
      </c>
      <c r="G17">
        <f>D17*E17</f>
        <v/>
      </c>
      <c r="H17">
        <f>D17*F17</f>
        <v/>
      </c>
      <c r="I17">
        <f>G17-H17</f>
        <v/>
      </c>
      <c r="J17">
        <f>IF(G17&gt;0,I17/G17,0)</f>
        <v/>
      </c>
      <c r="K17">
        <f>INDEX(Catalog!C:C,MATCH(C17,Catalog!A:A,0))</f>
        <v/>
      </c>
    </row>
    <row r="18">
      <c r="A18" t="inlineStr">
        <is>
          <t>ORD017</t>
        </is>
      </c>
      <c r="B18" s="1" t="n">
        <v>45736</v>
      </c>
      <c r="C18" t="inlineStr">
        <is>
          <t>SKU002</t>
        </is>
      </c>
      <c r="D18" t="n">
        <v>8</v>
      </c>
      <c r="E18">
        <f>INDEX(Catalog!G:G,MATCH(C18,Catalog!A:A,0))</f>
        <v/>
      </c>
      <c r="F18">
        <f>INDEX(Catalog!E:E,MATCH(C18,Catalog!A:A,0))</f>
        <v/>
      </c>
      <c r="G18">
        <f>D18*E18</f>
        <v/>
      </c>
      <c r="H18">
        <f>D18*F18</f>
        <v/>
      </c>
      <c r="I18">
        <f>G18-H18</f>
        <v/>
      </c>
      <c r="J18">
        <f>IF(G18&gt;0,I18/G18,0)</f>
        <v/>
      </c>
      <c r="K18">
        <f>INDEX(Catalog!C:C,MATCH(C18,Catalog!A:A,0))</f>
        <v/>
      </c>
    </row>
    <row r="19">
      <c r="A19" t="inlineStr">
        <is>
          <t>ORD018</t>
        </is>
      </c>
      <c r="B19" s="1" t="n">
        <v>45741</v>
      </c>
      <c r="C19" t="inlineStr">
        <is>
          <t>SKU004</t>
        </is>
      </c>
      <c r="D19" t="n">
        <v>15</v>
      </c>
      <c r="E19">
        <f>INDEX(Catalog!G:G,MATCH(C19,Catalog!A:A,0))</f>
        <v/>
      </c>
      <c r="F19">
        <f>INDEX(Catalog!E:E,MATCH(C19,Catalog!A:A,0))</f>
        <v/>
      </c>
      <c r="G19">
        <f>D19*E19</f>
        <v/>
      </c>
      <c r="H19">
        <f>D19*F19</f>
        <v/>
      </c>
      <c r="I19">
        <f>G19-H19</f>
        <v/>
      </c>
      <c r="J19">
        <f>IF(G19&gt;0,I19/G19,0)</f>
        <v/>
      </c>
      <c r="K19">
        <f>INDEX(Catalog!C:C,MATCH(C19,Catalog!A:A,0))</f>
        <v/>
      </c>
    </row>
    <row r="20">
      <c r="A20" t="inlineStr">
        <is>
          <t>ORD019</t>
        </is>
      </c>
      <c r="B20" s="1" t="n">
        <v>45748</v>
      </c>
      <c r="C20" t="inlineStr">
        <is>
          <t>SKU010</t>
        </is>
      </c>
      <c r="D20" t="n">
        <v>6</v>
      </c>
      <c r="E20">
        <f>INDEX(Catalog!G:G,MATCH(C20,Catalog!A:A,0))</f>
        <v/>
      </c>
      <c r="F20">
        <f>INDEX(Catalog!E:E,MATCH(C20,Catalog!A:A,0))</f>
        <v/>
      </c>
      <c r="G20">
        <f>D20*E20</f>
        <v/>
      </c>
      <c r="H20">
        <f>D20*F20</f>
        <v/>
      </c>
      <c r="I20">
        <f>G20-H20</f>
        <v/>
      </c>
      <c r="J20">
        <f>IF(G20&gt;0,I20/G20,0)</f>
        <v/>
      </c>
      <c r="K20">
        <f>INDEX(Catalog!C:C,MATCH(C20,Catalog!A:A,0))</f>
        <v/>
      </c>
    </row>
    <row r="21">
      <c r="A21" t="inlineStr">
        <is>
          <t>ORD020</t>
        </is>
      </c>
      <c r="B21" s="1" t="n">
        <v>45752</v>
      </c>
      <c r="C21" t="inlineStr">
        <is>
          <t>SKU001</t>
        </is>
      </c>
      <c r="D21" t="n">
        <v>25</v>
      </c>
      <c r="E21">
        <f>INDEX(Catalog!G:G,MATCH(C21,Catalog!A:A,0))</f>
        <v/>
      </c>
      <c r="F21">
        <f>INDEX(Catalog!E:E,MATCH(C21,Catalog!A:A,0))</f>
        <v/>
      </c>
      <c r="G21">
        <f>D21*E21</f>
        <v/>
      </c>
      <c r="H21">
        <f>D21*F21</f>
        <v/>
      </c>
      <c r="I21">
        <f>G21-H21</f>
        <v/>
      </c>
      <c r="J21">
        <f>IF(G21&gt;0,I21/G21,0)</f>
        <v/>
      </c>
      <c r="K21">
        <f>INDEX(Catalog!C:C,MATCH(C21,Catalog!A:A,0))</f>
        <v/>
      </c>
    </row>
    <row r="24">
      <c r="A24" t="inlineStr">
        <is>
          <t>Month</t>
        </is>
      </c>
      <c r="B24" t="inlineStr">
        <is>
          <t>Revenue</t>
        </is>
      </c>
      <c r="C24" t="inlineStr">
        <is>
          <t>COGS</t>
        </is>
      </c>
      <c r="D24" t="inlineStr">
        <is>
          <t>Gross Profit</t>
        </is>
      </c>
      <c r="E24" t="inlineStr">
        <is>
          <t>Orders</t>
        </is>
      </c>
    </row>
    <row r="25">
      <c r="A25" t="inlineStr">
        <is>
          <t>Jan 2025</t>
        </is>
      </c>
      <c r="B25">
        <f>SUM(G2:G6)</f>
        <v/>
      </c>
      <c r="C25">
        <f>SUM(H2:H6)</f>
        <v/>
      </c>
      <c r="D25">
        <f>B25-C25</f>
        <v/>
      </c>
      <c r="E25">
        <f>COUNTA(A2:A6)</f>
        <v/>
      </c>
    </row>
    <row r="26">
      <c r="A26" t="inlineStr">
        <is>
          <t>Feb 2025</t>
        </is>
      </c>
      <c r="B26">
        <f>SUM(G8:G12)</f>
        <v/>
      </c>
      <c r="C26">
        <f>SUM(H8:H12)</f>
        <v/>
      </c>
      <c r="D26">
        <f>B26-C26</f>
        <v/>
      </c>
      <c r="E26">
        <f>COUNTA(A8:A12)</f>
        <v/>
      </c>
    </row>
    <row r="27">
      <c r="A27" t="inlineStr">
        <is>
          <t>Mar 2025</t>
        </is>
      </c>
      <c r="B27">
        <f>SUM(G13:G18)</f>
        <v/>
      </c>
      <c r="C27">
        <f>SUM(H13:H18)</f>
        <v/>
      </c>
      <c r="D27">
        <f>B27-C27</f>
        <v/>
      </c>
      <c r="E27">
        <f>COUNTA(A13:A18)</f>
        <v/>
      </c>
    </row>
    <row r="28">
      <c r="A28" t="inlineStr">
        <is>
          <t>Apr 2025</t>
        </is>
      </c>
      <c r="B28">
        <f>SUM(G19:G21)</f>
        <v/>
      </c>
      <c r="C28">
        <f>SUM(H19:H21)</f>
        <v/>
      </c>
      <c r="D28">
        <f>B28-C28</f>
        <v/>
      </c>
      <c r="E28">
        <f>COUNTA(A19:A21)</f>
        <v/>
      </c>
    </row>
    <row r="30">
      <c r="A30" t="inlineStr">
        <is>
          <t>Grand Total</t>
        </is>
      </c>
      <c r="B30">
        <f>SUM(B25:B28)</f>
        <v/>
      </c>
      <c r="C30">
        <f>SUM(C25:C28)</f>
        <v/>
      </c>
      <c r="D30">
        <f>B30-C30</f>
        <v/>
      </c>
      <c r="E30">
        <f>SUM(E25:E28)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Fulfillment Metrics</t>
        </is>
      </c>
    </row>
    <row r="3">
      <c r="A3" t="inlineStr">
        <is>
          <t>Total Orders</t>
        </is>
      </c>
      <c r="B3">
        <f>Orders!E30</f>
        <v/>
      </c>
    </row>
    <row r="4">
      <c r="A4" t="inlineStr">
        <is>
          <t>Total Revenue</t>
        </is>
      </c>
      <c r="B4">
        <f>Orders!B30</f>
        <v/>
      </c>
    </row>
    <row r="5">
      <c r="A5" t="inlineStr">
        <is>
          <t>Total COGS</t>
        </is>
      </c>
      <c r="B5">
        <f>Orders!C30</f>
        <v/>
      </c>
    </row>
    <row r="6">
      <c r="A6" t="inlineStr">
        <is>
          <t>Gross Profit</t>
        </is>
      </c>
      <c r="B6">
        <f>B4-B5</f>
        <v/>
      </c>
    </row>
    <row r="7">
      <c r="A7" t="inlineStr">
        <is>
          <t>Gross Margin</t>
        </is>
      </c>
      <c r="B7">
        <f>IF(B4&gt;0,B6/B4,0)</f>
        <v/>
      </c>
    </row>
    <row r="9">
      <c r="A9" t="inlineStr">
        <is>
          <t>Avg Order Value</t>
        </is>
      </c>
      <c r="B9">
        <f>IF(B3&gt;0,B4/B3,0)</f>
        <v/>
      </c>
    </row>
    <row r="10">
      <c r="A10" t="inlineStr">
        <is>
          <t>Avg Profit per Order</t>
        </is>
      </c>
      <c r="B10">
        <f>IF(B3&gt;0,B6/B3,0)</f>
        <v/>
      </c>
    </row>
    <row r="12">
      <c r="A12" t="inlineStr">
        <is>
          <t>Current Inventory Value</t>
        </is>
      </c>
      <c r="B12">
        <f>Warehouse!B15</f>
        <v/>
      </c>
    </row>
    <row r="13">
      <c r="A13" t="inlineStr">
        <is>
          <t>Items Needing Reorder</t>
        </is>
      </c>
      <c r="B13">
        <f>Warehouse!B16</f>
        <v/>
      </c>
    </row>
    <row r="14">
      <c r="A14" t="inlineStr">
        <is>
          <t>Reorder Cost</t>
        </is>
      </c>
      <c r="B14">
        <f>Warehouse!B17</f>
        <v/>
      </c>
    </row>
    <row r="15">
      <c r="A15" t="inlineStr">
        <is>
          <t>Inventory Turnover</t>
        </is>
      </c>
      <c r="B15">
        <f>IF(B12&gt;0,B5/B12,0)</f>
        <v/>
      </c>
    </row>
    <row r="17">
      <c r="A17" t="inlineStr">
        <is>
          <t>Avg Supplier Lead Time</t>
        </is>
      </c>
      <c r="B17">
        <f>Suppliers!B8</f>
        <v/>
      </c>
    </row>
    <row r="18">
      <c r="A18" t="inlineStr">
        <is>
          <t>Avg Supplier Reliability</t>
        </is>
      </c>
      <c r="B18">
        <f>Suppliers!B9</f>
        <v/>
      </c>
    </row>
    <row r="19">
      <c r="A19" t="inlineStr">
        <is>
          <t>Best Supplier</t>
        </is>
      </c>
      <c r="B19">
        <f>Suppliers!B10</f>
        <v/>
      </c>
    </row>
    <row r="21">
      <c r="A21" t="inlineStr">
        <is>
          <t>Service Level Score</t>
        </is>
      </c>
      <c r="B21">
        <f>ROUND(B7*B18*100,1)</f>
        <v/>
      </c>
    </row>
    <row r="22">
      <c r="A22" t="inlineStr">
        <is>
          <t>Risk Assessment</t>
        </is>
      </c>
      <c r="B22">
        <f>IF(B13&gt;3,"High Risk",IF(B13&gt;1,"Medium Risk","Low Risk"))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Summary</t>
        </is>
      </c>
    </row>
    <row r="3">
      <c r="A3" t="inlineStr">
        <is>
          <t>Revenue</t>
        </is>
      </c>
      <c r="B3">
        <f>Fulfillment!B4</f>
        <v/>
      </c>
    </row>
    <row r="4">
      <c r="A4" t="inlineStr">
        <is>
          <t>COGS</t>
        </is>
      </c>
      <c r="B4">
        <f>Fulfillment!B5</f>
        <v/>
      </c>
    </row>
    <row r="5">
      <c r="A5" t="inlineStr">
        <is>
          <t>Gross Profit</t>
        </is>
      </c>
      <c r="B5">
        <f>B3-B4</f>
        <v/>
      </c>
    </row>
    <row r="6">
      <c r="A6" t="inlineStr">
        <is>
          <t>Gross Margin</t>
        </is>
      </c>
      <c r="B6">
        <f>IF(B3&gt;0,B5/B3,0)</f>
        <v/>
      </c>
    </row>
    <row r="8">
      <c r="A8" t="inlineStr">
        <is>
          <t>Operating Expenses</t>
        </is>
      </c>
      <c r="B8">
        <f>B3*0.20</f>
        <v/>
      </c>
    </row>
    <row r="9">
      <c r="A9" t="inlineStr">
        <is>
          <t>Reorder Costs (projected)</t>
        </is>
      </c>
      <c r="B9">
        <f>Fulfillment!B14</f>
        <v/>
      </c>
    </row>
    <row r="10">
      <c r="A10" t="inlineStr">
        <is>
          <t>EBITDA</t>
        </is>
      </c>
      <c r="B10">
        <f>B5-B8-B9</f>
        <v/>
      </c>
    </row>
    <row r="11">
      <c r="A11" t="inlineStr">
        <is>
          <t>Depreciation</t>
        </is>
      </c>
      <c r="B11">
        <f>Fulfillment!B12*0.1</f>
        <v/>
      </c>
    </row>
    <row r="12">
      <c r="A12" t="inlineStr">
        <is>
          <t>EBIT</t>
        </is>
      </c>
      <c r="B12">
        <f>B10-B11</f>
        <v/>
      </c>
    </row>
    <row r="13">
      <c r="A13" t="inlineStr">
        <is>
          <t>Tax (25%)</t>
        </is>
      </c>
      <c r="B13">
        <f>IF(B12&gt;0,B12*0.25,0)</f>
        <v/>
      </c>
    </row>
    <row r="14">
      <c r="A14" t="inlineStr">
        <is>
          <t>Net Income</t>
        </is>
      </c>
      <c r="B14">
        <f>B12-B13</f>
        <v/>
      </c>
    </row>
    <row r="15">
      <c r="A15" t="inlineStr">
        <is>
          <t>Net Margin</t>
        </is>
      </c>
      <c r="B15">
        <f>IF(B3&gt;0,B14/B3,0)</f>
        <v/>
      </c>
    </row>
    <row r="17">
      <c r="A17" t="inlineStr">
        <is>
          <t>Operating Cash Flow</t>
        </is>
      </c>
      <c r="B17">
        <f>B14+B11</f>
        <v/>
      </c>
    </row>
    <row r="18">
      <c r="A18" t="inlineStr">
        <is>
          <t>CapEx (Reorder)</t>
        </is>
      </c>
      <c r="B18">
        <f>-B9</f>
        <v/>
      </c>
    </row>
    <row r="19">
      <c r="A19" t="inlineStr">
        <is>
          <t>Free Cash Flow</t>
        </is>
      </c>
      <c r="B19">
        <f>B17+B18</f>
        <v/>
      </c>
    </row>
    <row r="21">
      <c r="A21" t="inlineStr">
        <is>
          <t>Inventory</t>
        </is>
      </c>
      <c r="B21">
        <f>Fulfillment!B12</f>
        <v/>
      </c>
    </row>
    <row r="22">
      <c r="A22" t="inlineStr">
        <is>
          <t>Working Capital Need</t>
        </is>
      </c>
      <c r="B22">
        <f>B21+B3*0.08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Dashboard</t>
        </is>
      </c>
    </row>
    <row r="3">
      <c r="A3" t="inlineStr">
        <is>
          <t>Net Income</t>
        </is>
      </c>
      <c r="B3">
        <f>Financials!B14</f>
        <v/>
      </c>
    </row>
    <row r="4">
      <c r="A4" t="inlineStr">
        <is>
          <t>Free Cash Flow</t>
        </is>
      </c>
      <c r="B4">
        <f>Financials!B19</f>
        <v/>
      </c>
    </row>
    <row r="5">
      <c r="A5" t="inlineStr">
        <is>
          <t>Net Margin</t>
        </is>
      </c>
      <c r="B5">
        <f>Financials!B15</f>
        <v/>
      </c>
    </row>
    <row r="6">
      <c r="A6" t="inlineStr">
        <is>
          <t>Gross Margin</t>
        </is>
      </c>
      <c r="B6">
        <f>Financials!B6</f>
        <v/>
      </c>
    </row>
    <row r="8">
      <c r="A8" t="inlineStr">
        <is>
          <t>Revenue</t>
        </is>
      </c>
      <c r="B8">
        <f>Financials!B3</f>
        <v/>
      </c>
    </row>
    <row r="9">
      <c r="A9" t="inlineStr">
        <is>
          <t>Total Orders</t>
        </is>
      </c>
      <c r="B9">
        <f>Fulfillment!B3</f>
        <v/>
      </c>
    </row>
    <row r="10">
      <c r="A10" t="inlineStr">
        <is>
          <t>Avg Order Value</t>
        </is>
      </c>
      <c r="B10">
        <f>Fulfillment!B9</f>
        <v/>
      </c>
    </row>
    <row r="12">
      <c r="A12" t="inlineStr">
        <is>
          <t>Inventory Value</t>
        </is>
      </c>
      <c r="B12">
        <f>Fulfillment!B12</f>
        <v/>
      </c>
    </row>
    <row r="13">
      <c r="A13" t="inlineStr">
        <is>
          <t>Inventory Turnover</t>
        </is>
      </c>
      <c r="B13">
        <f>Fulfillment!B15</f>
        <v/>
      </c>
    </row>
    <row r="14">
      <c r="A14" t="inlineStr">
        <is>
          <t>Service Level</t>
        </is>
      </c>
      <c r="B14">
        <f>Fulfillment!B21</f>
        <v/>
      </c>
    </row>
    <row r="16">
      <c r="A16" t="inlineStr">
        <is>
          <t>Supply Chain Risk</t>
        </is>
      </c>
      <c r="B16">
        <f>Fulfillment!B22</f>
        <v/>
      </c>
    </row>
    <row r="17">
      <c r="A17" t="inlineStr">
        <is>
          <t>Best Supplier</t>
        </is>
      </c>
      <c r="B17">
        <f>Fulfillment!B19</f>
        <v/>
      </c>
    </row>
    <row r="19">
      <c r="A19" t="inlineStr">
        <is>
          <t>Profitability Score</t>
        </is>
      </c>
      <c r="B19">
        <f>ROUND(B5*100+B13*10+B14/10,1)</f>
        <v/>
      </c>
    </row>
    <row r="20">
      <c r="A20" t="inlineStr">
        <is>
          <t>Overall Grade</t>
        </is>
      </c>
      <c r="B20">
        <f>IF(B19&gt;50,"Excellent",IF(B19&gt;30,"Good",IF(B19&gt;15,"Fair","Poor")))</f>
        <v/>
      </c>
    </row>
    <row r="22">
      <c r="A22" t="inlineStr">
        <is>
          <t>Monthly Revenue Trend</t>
        </is>
      </c>
    </row>
    <row r="23">
      <c r="A23">
        <f>Orders!A25</f>
        <v/>
      </c>
      <c r="B23">
        <f>Orders!B25</f>
        <v/>
      </c>
    </row>
    <row r="24">
      <c r="A24">
        <f>Orders!A26</f>
        <v/>
      </c>
      <c r="B24">
        <f>Orders!B26</f>
        <v/>
      </c>
      <c r="C24">
        <f>IF(B23&gt;0,(B24-B23)/B23,0)</f>
        <v/>
      </c>
    </row>
    <row r="25">
      <c r="A25">
        <f>Orders!A27</f>
        <v/>
      </c>
      <c r="B25">
        <f>Orders!B27</f>
        <v/>
      </c>
      <c r="C25">
        <f>IF(B24&gt;0,(B25-B24)/B24,0)</f>
        <v/>
      </c>
    </row>
    <row r="26">
      <c r="A26">
        <f>Orders!A28</f>
        <v/>
      </c>
      <c r="B26">
        <f>Orders!B28</f>
        <v/>
      </c>
      <c r="C26">
        <f>IF(B25&gt;0,(B26-B25)/B25,0)</f>
        <v/>
      </c>
    </row>
    <row r="28">
      <c r="A28" t="inlineStr">
        <is>
          <t>Avg Monthly Growth</t>
        </is>
      </c>
      <c r="B28">
        <f>IFERROR(AVERAGE(C24:C26),0)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2026-05-10T13:17:58Z</dcterms:created>
  <dcterms:modified xmlns:dcterms="http://purl.org/dc/terms/" xmlns:xsi="http://www.w3.org/2001/XMLSchema-instance" xsi:type="dcterms:W3CDTF">2026-05-10T13:17:58Z</dcterms:modified>
</cp:coreProperties>
</file>