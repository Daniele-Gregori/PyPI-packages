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Entity_A" sheetId="2" state="visible" r:id="rId2"/>
    <sheet xmlns:r="http://schemas.openxmlformats.org/officeDocument/2006/relationships" name="Entity_B" sheetId="3" state="visible" r:id="rId3"/>
    <sheet xmlns:r="http://schemas.openxmlformats.org/officeDocument/2006/relationships" name="Entity_C" sheetId="4" state="visible" r:id="rId4"/>
    <sheet xmlns:r="http://schemas.openxmlformats.org/officeDocument/2006/relationships" name="Intercompany" sheetId="5" state="visible" r:id="rId5"/>
    <sheet xmlns:r="http://schemas.openxmlformats.org/officeDocument/2006/relationships" name="Consolidated" sheetId="6" state="visible" r:id="rId6"/>
    <sheet xmlns:r="http://schemas.openxmlformats.org/officeDocument/2006/relationships" name="Ratios" sheetId="7" state="visible" r:id="rId7"/>
    <sheet xmlns:r="http://schemas.openxmlformats.org/officeDocument/2006/relationships" name="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Configuration</t>
        </is>
      </c>
    </row>
    <row r="3">
      <c r="A3" t="inlineStr">
        <is>
          <t>Reporting Year</t>
        </is>
      </c>
      <c r="B3" t="n">
        <v>2025</v>
      </c>
    </row>
    <row r="4">
      <c r="A4" t="inlineStr">
        <is>
          <t>Currency</t>
        </is>
      </c>
      <c r="B4" t="inlineStr">
        <is>
          <t>EUR</t>
        </is>
      </c>
    </row>
    <row r="5">
      <c r="A5" t="inlineStr">
        <is>
          <t>Tax Rate Domestic</t>
        </is>
      </c>
      <c r="B5" t="n">
        <v>0.25</v>
      </c>
    </row>
    <row r="6">
      <c r="A6" t="inlineStr">
        <is>
          <t>Tax Rate Foreign</t>
        </is>
      </c>
      <c r="B6" t="n">
        <v>0.3</v>
      </c>
    </row>
    <row r="7">
      <c r="A7" t="inlineStr">
        <is>
          <t>Transfer Pricing Markup</t>
        </is>
      </c>
      <c r="B7" t="n">
        <v>0.08</v>
      </c>
    </row>
    <row r="8">
      <c r="A8" t="inlineStr">
        <is>
          <t>Interco Interest Rate</t>
        </is>
      </c>
      <c r="B8" t="n">
        <v>0.04</v>
      </c>
    </row>
    <row r="9">
      <c r="A9" t="inlineStr">
        <is>
          <t>Depreciation Rate</t>
        </is>
      </c>
      <c r="B9" t="n">
        <v>0.1</v>
      </c>
    </row>
    <row r="10">
      <c r="A10" t="inlineStr">
        <is>
          <t>FX Rate USD/EUR</t>
        </is>
      </c>
      <c r="B10" t="n">
        <v>0.92</v>
      </c>
    </row>
    <row r="11">
      <c r="A11" t="inlineStr">
        <is>
          <t>FX Rate GBP/EUR</t>
        </is>
      </c>
      <c r="B11" t="n">
        <v>1.17</v>
      </c>
    </row>
    <row r="12">
      <c r="A12" t="inlineStr">
        <is>
          <t>Discount Rate (WACC)</t>
        </is>
      </c>
      <c r="B12" t="n">
        <v>0.09</v>
      </c>
    </row>
    <row r="13">
      <c r="A13" t="inlineStr">
        <is>
          <t>Dividend Payout Ratio</t>
        </is>
      </c>
      <c r="B13" t="n">
        <v>0.4</v>
      </c>
    </row>
    <row r="14">
      <c r="A14" t="inlineStr">
        <is>
          <t>Goodwill</t>
        </is>
      </c>
      <c r="B14" t="n">
        <v>50000</v>
      </c>
    </row>
    <row r="16">
      <c r="A16" t="inlineStr">
        <is>
          <t>Effective Group Tax</t>
        </is>
      </c>
      <c r="B16">
        <f>AVERAGE(B5,B6)</f>
        <v/>
      </c>
    </row>
    <row r="17">
      <c r="A17" t="inlineStr">
        <is>
          <t>After-tax Retention</t>
        </is>
      </c>
      <c r="B17">
        <f>1-B16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Entity_A — Standalone Financials</t>
        </is>
      </c>
    </row>
    <row r="2">
      <c r="A2" t="inlineStr">
        <is>
          <t>All amounts in local currency</t>
        </is>
      </c>
    </row>
    <row r="4">
      <c r="A4" t="inlineStr">
        <is>
          <t>PROFIT &amp; LOSS</t>
        </is>
      </c>
    </row>
    <row r="5">
      <c r="A5" t="inlineStr">
        <is>
          <t>Item</t>
        </is>
      </c>
      <c r="B5" t="inlineStr">
        <is>
          <t>Q1</t>
        </is>
      </c>
      <c r="C5" t="inlineStr">
        <is>
          <t>Q2</t>
        </is>
      </c>
      <c r="D5" t="inlineStr">
        <is>
          <t>Q3</t>
        </is>
      </c>
      <c r="E5" t="inlineStr">
        <is>
          <t>Q4</t>
        </is>
      </c>
      <c r="F5" t="inlineStr">
        <is>
          <t>FY</t>
        </is>
      </c>
    </row>
    <row r="6">
      <c r="A6" t="inlineStr">
        <is>
          <t>External Revenue</t>
        </is>
      </c>
      <c r="B6" t="n">
        <v>120000</v>
      </c>
      <c r="C6" t="n">
        <v>135000</v>
      </c>
      <c r="D6" t="n">
        <v>150000</v>
      </c>
      <c r="E6" t="n">
        <v>140000</v>
      </c>
      <c r="F6">
        <f>SUM(B6:E6)</f>
        <v/>
      </c>
    </row>
    <row r="7">
      <c r="A7" t="inlineStr">
        <is>
          <t>Intercompany Revenue</t>
        </is>
      </c>
      <c r="B7" t="n">
        <v>5000</v>
      </c>
      <c r="C7" t="n">
        <v>5000</v>
      </c>
      <c r="D7" t="n">
        <v>5000</v>
      </c>
      <c r="E7" t="n">
        <v>5000</v>
      </c>
      <c r="F7">
        <f>SUM(B7:E7)</f>
        <v/>
      </c>
    </row>
    <row r="8">
      <c r="A8" t="inlineStr">
        <is>
          <t>Total Revenue</t>
        </is>
      </c>
      <c r="B8">
        <f>B6+B7</f>
        <v/>
      </c>
      <c r="C8">
        <f>C6+C7</f>
        <v/>
      </c>
      <c r="D8">
        <f>D6+D7</f>
        <v/>
      </c>
      <c r="E8">
        <f>E6+E7</f>
        <v/>
      </c>
      <c r="F8">
        <f>SUM(B8:E8)</f>
        <v/>
      </c>
    </row>
    <row r="9">
      <c r="A9" t="inlineStr">
        <is>
          <t>COGS</t>
        </is>
      </c>
      <c r="B9">
        <f>B8*0.4</f>
        <v/>
      </c>
      <c r="C9">
        <f>C8*0.4</f>
        <v/>
      </c>
      <c r="D9">
        <f>D8*0.4</f>
        <v/>
      </c>
      <c r="E9">
        <f>E8*0.4</f>
        <v/>
      </c>
      <c r="F9">
        <f>SUM(B9:E9)</f>
        <v/>
      </c>
    </row>
    <row r="10">
      <c r="A10" t="inlineStr">
        <is>
          <t>Intercompany COGS</t>
        </is>
      </c>
      <c r="B10" t="n">
        <v>3000</v>
      </c>
      <c r="C10" t="n">
        <v>3000</v>
      </c>
      <c r="D10" t="n">
        <v>3000</v>
      </c>
      <c r="E10" t="n">
        <v>3000</v>
      </c>
      <c r="F10">
        <f>SUM(B10:E10)</f>
        <v/>
      </c>
    </row>
    <row r="11">
      <c r="A11" t="inlineStr">
        <is>
          <t>Personnel</t>
        </is>
      </c>
      <c r="B11">
        <f>B8*0.25</f>
        <v/>
      </c>
      <c r="C11">
        <f>C8*0.25</f>
        <v/>
      </c>
      <c r="D11">
        <f>D8*0.25</f>
        <v/>
      </c>
      <c r="E11">
        <f>E8*0.25</f>
        <v/>
      </c>
      <c r="F11">
        <f>SUM(B11:E11)</f>
        <v/>
      </c>
    </row>
    <row r="12">
      <c r="A12" t="inlineStr">
        <is>
          <t>Rent &amp; Utilities</t>
        </is>
      </c>
      <c r="B12">
        <f>B8*0.05</f>
        <v/>
      </c>
      <c r="C12">
        <f>C8*0.05</f>
        <v/>
      </c>
      <c r="D12">
        <f>D8*0.05</f>
        <v/>
      </c>
      <c r="E12">
        <f>E8*0.05</f>
        <v/>
      </c>
      <c r="F12">
        <f>SUM(B12:E12)</f>
        <v/>
      </c>
    </row>
    <row r="13">
      <c r="A13" t="inlineStr">
        <is>
          <t>Marketing</t>
        </is>
      </c>
      <c r="B13">
        <f>B8*0.08</f>
        <v/>
      </c>
      <c r="C13">
        <f>C8*0.08</f>
        <v/>
      </c>
      <c r="D13">
        <f>D8*0.08</f>
        <v/>
      </c>
      <c r="E13">
        <f>E8*0.08</f>
        <v/>
      </c>
      <c r="F13">
        <f>SUM(B13:E13)</f>
        <v/>
      </c>
    </row>
    <row r="14">
      <c r="A14" t="inlineStr">
        <is>
          <t>Other OpEx</t>
        </is>
      </c>
      <c r="B14">
        <f>B8*0.04</f>
        <v/>
      </c>
      <c r="C14">
        <f>C8*0.04</f>
        <v/>
      </c>
      <c r="D14">
        <f>D8*0.04</f>
        <v/>
      </c>
      <c r="E14">
        <f>E8*0.04</f>
        <v/>
      </c>
      <c r="F14">
        <f>SUM(B14:E14)</f>
        <v/>
      </c>
    </row>
    <row r="15">
      <c r="A15" t="inlineStr">
        <is>
          <t>Total Costs</t>
        </is>
      </c>
      <c r="B15">
        <f>SUM(B9:B14)</f>
        <v/>
      </c>
      <c r="C15">
        <f>SUM(C9:C14)</f>
        <v/>
      </c>
      <c r="D15">
        <f>SUM(D9:D14)</f>
        <v/>
      </c>
      <c r="E15">
        <f>SUM(E9:E14)</f>
        <v/>
      </c>
      <c r="F15">
        <f>SUM(B15:E15)</f>
        <v/>
      </c>
    </row>
    <row r="16">
      <c r="A16" t="inlineStr">
        <is>
          <t>EBITDA</t>
        </is>
      </c>
      <c r="B16">
        <f>B8-B15</f>
        <v/>
      </c>
      <c r="C16">
        <f>C8-C15</f>
        <v/>
      </c>
      <c r="D16">
        <f>D8-D15</f>
        <v/>
      </c>
      <c r="E16">
        <f>E8-E15</f>
        <v/>
      </c>
      <c r="F16">
        <f>SUM(B16:E16)</f>
        <v/>
      </c>
    </row>
    <row r="17">
      <c r="A17" t="inlineStr">
        <is>
          <t>Depreciation</t>
        </is>
      </c>
      <c r="B17">
        <f>B8*Config!$B$9/4</f>
        <v/>
      </c>
      <c r="C17">
        <f>C8*Config!$B$9/4</f>
        <v/>
      </c>
      <c r="D17">
        <f>D8*Config!$B$9/4</f>
        <v/>
      </c>
      <c r="E17">
        <f>E8*Config!$B$9/4</f>
        <v/>
      </c>
      <c r="F17">
        <f>SUM(B17:E17)</f>
        <v/>
      </c>
    </row>
    <row r="18">
      <c r="A18" t="inlineStr">
        <is>
          <t>Intercompany Interest</t>
        </is>
      </c>
      <c r="B18">
        <f>20000*Config!$B$8/4</f>
        <v/>
      </c>
      <c r="C18">
        <f>20000*Config!$B$8/4</f>
        <v/>
      </c>
      <c r="D18">
        <f>20000*Config!$B$8/4</f>
        <v/>
      </c>
      <c r="E18">
        <f>20000*Config!$B$8/4</f>
        <v/>
      </c>
      <c r="F18">
        <f>SUM(B18:E18)</f>
        <v/>
      </c>
    </row>
    <row r="19">
      <c r="A19" t="inlineStr">
        <is>
          <t>EBT</t>
        </is>
      </c>
      <c r="B19">
        <f>B16-B17-B18</f>
        <v/>
      </c>
      <c r="C19">
        <f>C16-C17-C18</f>
        <v/>
      </c>
      <c r="D19">
        <f>D16-D17-D18</f>
        <v/>
      </c>
      <c r="E19">
        <f>E16-E17-E18</f>
        <v/>
      </c>
      <c r="F19">
        <f>SUM(B19:E19)</f>
        <v/>
      </c>
    </row>
    <row r="20">
      <c r="A20" t="inlineStr">
        <is>
          <t>Income Tax</t>
        </is>
      </c>
      <c r="B20">
        <f>IF(B19&gt;0,B19*Config!$B$5,0)</f>
        <v/>
      </c>
      <c r="C20">
        <f>IF(C19&gt;0,C19*Config!$B$5,0)</f>
        <v/>
      </c>
      <c r="D20">
        <f>IF(D19&gt;0,D19*Config!$B$5,0)</f>
        <v/>
      </c>
      <c r="E20">
        <f>IF(E19&gt;0,E19*Config!$B$5,0)</f>
        <v/>
      </c>
      <c r="F20">
        <f>SUM(B20:E20)</f>
        <v/>
      </c>
    </row>
    <row r="21">
      <c r="A21" t="inlineStr">
        <is>
          <t>Net Income</t>
        </is>
      </c>
      <c r="B21">
        <f>B19-B20</f>
        <v/>
      </c>
      <c r="C21">
        <f>C19-C20</f>
        <v/>
      </c>
      <c r="D21">
        <f>D19-D20</f>
        <v/>
      </c>
      <c r="E21">
        <f>E19-E20</f>
        <v/>
      </c>
      <c r="F21">
        <f>SUM(B21:E21)</f>
        <v/>
      </c>
    </row>
    <row r="22">
      <c r="A22" t="inlineStr">
        <is>
          <t>EBITDA Margin</t>
        </is>
      </c>
      <c r="B22">
        <f>IF(B8&gt;0,B16/B8,0)</f>
        <v/>
      </c>
      <c r="C22">
        <f>IF(C8&gt;0,C16/C8,0)</f>
        <v/>
      </c>
      <c r="D22">
        <f>IF(D8&gt;0,D16/D8,0)</f>
        <v/>
      </c>
      <c r="E22">
        <f>IF(E8&gt;0,E16/E8,0)</f>
        <v/>
      </c>
      <c r="F22">
        <f>IF(F8&gt;0,F16/F8,0)</f>
        <v/>
      </c>
    </row>
    <row r="23">
      <c r="A23" t="inlineStr">
        <is>
          <t>Net Margin</t>
        </is>
      </c>
      <c r="B23">
        <f>IF(B8&gt;0,B21/B8,0)</f>
        <v/>
      </c>
      <c r="C23">
        <f>IF(C8&gt;0,C21/C8,0)</f>
        <v/>
      </c>
      <c r="D23">
        <f>IF(D8&gt;0,D21/D8,0)</f>
        <v/>
      </c>
      <c r="E23">
        <f>IF(E8&gt;0,E21/E8,0)</f>
        <v/>
      </c>
      <c r="F23">
        <f>IF(F8&gt;0,F21/F8,0)</f>
        <v/>
      </c>
    </row>
    <row r="25">
      <c r="A25" t="inlineStr">
        <is>
          <t>BALANCE SHEET</t>
        </is>
      </c>
    </row>
    <row r="26">
      <c r="A26" t="inlineStr">
        <is>
          <t>Item</t>
        </is>
      </c>
      <c r="B26" t="inlineStr">
        <is>
          <t>Amount</t>
        </is>
      </c>
      <c r="C26" t="inlineStr">
        <is>
          <t>EUR Equivalent</t>
        </is>
      </c>
    </row>
    <row r="27">
      <c r="A27" t="inlineStr">
        <is>
          <t>Cash</t>
        </is>
      </c>
      <c r="B27" t="n">
        <v>80000</v>
      </c>
      <c r="C27">
        <f>B27*1</f>
        <v/>
      </c>
    </row>
    <row r="28">
      <c r="A28" t="inlineStr">
        <is>
          <t>Receivables</t>
        </is>
      </c>
      <c r="B28" t="n">
        <v>45000</v>
      </c>
      <c r="C28">
        <f>B28*1</f>
        <v/>
      </c>
    </row>
    <row r="29">
      <c r="A29" t="inlineStr">
        <is>
          <t>Inventory</t>
        </is>
      </c>
      <c r="B29" t="n">
        <v>30000</v>
      </c>
      <c r="C29">
        <f>B29*1</f>
        <v/>
      </c>
    </row>
    <row r="30">
      <c r="A30" t="inlineStr">
        <is>
          <t>Intercompany Receivable</t>
        </is>
      </c>
      <c r="B30" t="n">
        <v>20000</v>
      </c>
      <c r="C30">
        <f>B30*1</f>
        <v/>
      </c>
    </row>
    <row r="31">
      <c r="A31" t="inlineStr">
        <is>
          <t>Fixed Assets (net)</t>
        </is>
      </c>
      <c r="B31" t="n">
        <v>200000</v>
      </c>
      <c r="C31">
        <f>B31*1</f>
        <v/>
      </c>
    </row>
    <row r="32">
      <c r="A32" t="inlineStr">
        <is>
          <t>Total Assets</t>
        </is>
      </c>
      <c r="B32">
        <f>SUM(B27:B31)</f>
        <v/>
      </c>
      <c r="C32">
        <f>SUM(C27:C31)</f>
        <v/>
      </c>
    </row>
    <row r="33">
      <c r="A33" t="inlineStr">
        <is>
          <t>Payables</t>
        </is>
      </c>
      <c r="B33" t="n">
        <v>35000</v>
      </c>
      <c r="C33">
        <f>B33*1</f>
        <v/>
      </c>
    </row>
    <row r="34">
      <c r="A34" t="inlineStr">
        <is>
          <t>Intercompany Payable</t>
        </is>
      </c>
      <c r="B34" t="n">
        <v>0</v>
      </c>
      <c r="C34">
        <f>B34*1</f>
        <v/>
      </c>
    </row>
    <row r="35">
      <c r="A35" t="inlineStr">
        <is>
          <t>Debt</t>
        </is>
      </c>
      <c r="B35" t="n">
        <v>100000</v>
      </c>
      <c r="C35">
        <f>B35*1</f>
        <v/>
      </c>
    </row>
    <row r="36">
      <c r="A36" t="inlineStr">
        <is>
          <t>Equity</t>
        </is>
      </c>
      <c r="B36">
        <f>B32-SUM(B33:B35)</f>
        <v/>
      </c>
      <c r="C36">
        <f>B36*1</f>
        <v/>
      </c>
    </row>
    <row r="37">
      <c r="A37" t="inlineStr">
        <is>
          <t>Total Liabilities + Equity</t>
        </is>
      </c>
      <c r="B37">
        <f>SUM(B33:B36)</f>
        <v/>
      </c>
      <c r="C37">
        <f>SUM(C33:C36)</f>
        <v/>
      </c>
    </row>
    <row r="38">
      <c r="A38" t="inlineStr">
        <is>
          <t>Balance Check</t>
        </is>
      </c>
      <c r="B38">
        <f>IF(ABS(B32-B37)&lt;0.01,"OK","ERROR")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Entity_B — Standalone Financials</t>
        </is>
      </c>
    </row>
    <row r="2">
      <c r="A2" t="inlineStr">
        <is>
          <t>All amounts in local currency</t>
        </is>
      </c>
    </row>
    <row r="4">
      <c r="A4" t="inlineStr">
        <is>
          <t>PROFIT &amp; LOSS</t>
        </is>
      </c>
    </row>
    <row r="5">
      <c r="A5" t="inlineStr">
        <is>
          <t>Item</t>
        </is>
      </c>
      <c r="B5" t="inlineStr">
        <is>
          <t>Q1</t>
        </is>
      </c>
      <c r="C5" t="inlineStr">
        <is>
          <t>Q2</t>
        </is>
      </c>
      <c r="D5" t="inlineStr">
        <is>
          <t>Q3</t>
        </is>
      </c>
      <c r="E5" t="inlineStr">
        <is>
          <t>Q4</t>
        </is>
      </c>
      <c r="F5" t="inlineStr">
        <is>
          <t>FY</t>
        </is>
      </c>
    </row>
    <row r="6">
      <c r="A6" t="inlineStr">
        <is>
          <t>External Revenue</t>
        </is>
      </c>
      <c r="B6" t="n">
        <v>95000</v>
      </c>
      <c r="C6" t="n">
        <v>110000</v>
      </c>
      <c r="D6" t="n">
        <v>105000</v>
      </c>
      <c r="E6" t="n">
        <v>120000</v>
      </c>
      <c r="F6">
        <f>SUM(B6:E6)</f>
        <v/>
      </c>
    </row>
    <row r="7">
      <c r="A7" t="inlineStr">
        <is>
          <t>Intercompany Revenue</t>
        </is>
      </c>
      <c r="B7" t="n">
        <v>3000</v>
      </c>
      <c r="C7" t="n">
        <v>3000</v>
      </c>
      <c r="D7" t="n">
        <v>3000</v>
      </c>
      <c r="E7" t="n">
        <v>3000</v>
      </c>
      <c r="F7">
        <f>SUM(B7:E7)</f>
        <v/>
      </c>
    </row>
    <row r="8">
      <c r="A8" t="inlineStr">
        <is>
          <t>Total Revenue</t>
        </is>
      </c>
      <c r="B8">
        <f>B6+B7</f>
        <v/>
      </c>
      <c r="C8">
        <f>C6+C7</f>
        <v/>
      </c>
      <c r="D8">
        <f>D6+D7</f>
        <v/>
      </c>
      <c r="E8">
        <f>E6+E7</f>
        <v/>
      </c>
      <c r="F8">
        <f>SUM(B8:E8)</f>
        <v/>
      </c>
    </row>
    <row r="9">
      <c r="A9" t="inlineStr">
        <is>
          <t>COGS</t>
        </is>
      </c>
      <c r="B9">
        <f>B8*0.38</f>
        <v/>
      </c>
      <c r="C9">
        <f>C8*0.38</f>
        <v/>
      </c>
      <c r="D9">
        <f>D8*0.38</f>
        <v/>
      </c>
      <c r="E9">
        <f>E8*0.38</f>
        <v/>
      </c>
      <c r="F9">
        <f>SUM(B9:E9)</f>
        <v/>
      </c>
    </row>
    <row r="10">
      <c r="A10" t="inlineStr">
        <is>
          <t>Intercompany COGS</t>
        </is>
      </c>
      <c r="B10" t="n">
        <v>5000</v>
      </c>
      <c r="C10" t="n">
        <v>5000</v>
      </c>
      <c r="D10" t="n">
        <v>5000</v>
      </c>
      <c r="E10" t="n">
        <v>5000</v>
      </c>
      <c r="F10">
        <f>SUM(B10:E10)</f>
        <v/>
      </c>
    </row>
    <row r="11">
      <c r="A11" t="inlineStr">
        <is>
          <t>Personnel</t>
        </is>
      </c>
      <c r="B11">
        <f>B8*0.28</f>
        <v/>
      </c>
      <c r="C11">
        <f>C8*0.28</f>
        <v/>
      </c>
      <c r="D11">
        <f>D8*0.28</f>
        <v/>
      </c>
      <c r="E11">
        <f>E8*0.28</f>
        <v/>
      </c>
      <c r="F11">
        <f>SUM(B11:E11)</f>
        <v/>
      </c>
    </row>
    <row r="12">
      <c r="A12" t="inlineStr">
        <is>
          <t>Rent &amp; Utilities</t>
        </is>
      </c>
      <c r="B12">
        <f>B8*0.06</f>
        <v/>
      </c>
      <c r="C12">
        <f>C8*0.06</f>
        <v/>
      </c>
      <c r="D12">
        <f>D8*0.06</f>
        <v/>
      </c>
      <c r="E12">
        <f>E8*0.06</f>
        <v/>
      </c>
      <c r="F12">
        <f>SUM(B12:E12)</f>
        <v/>
      </c>
    </row>
    <row r="13">
      <c r="A13" t="inlineStr">
        <is>
          <t>Marketing</t>
        </is>
      </c>
      <c r="B13">
        <f>B8*0.1</f>
        <v/>
      </c>
      <c r="C13">
        <f>C8*0.1</f>
        <v/>
      </c>
      <c r="D13">
        <f>D8*0.1</f>
        <v/>
      </c>
      <c r="E13">
        <f>E8*0.1</f>
        <v/>
      </c>
      <c r="F13">
        <f>SUM(B13:E13)</f>
        <v/>
      </c>
    </row>
    <row r="14">
      <c r="A14" t="inlineStr">
        <is>
          <t>Other OpEx</t>
        </is>
      </c>
      <c r="B14">
        <f>B8*0.05</f>
        <v/>
      </c>
      <c r="C14">
        <f>C8*0.05</f>
        <v/>
      </c>
      <c r="D14">
        <f>D8*0.05</f>
        <v/>
      </c>
      <c r="E14">
        <f>E8*0.05</f>
        <v/>
      </c>
      <c r="F14">
        <f>SUM(B14:E14)</f>
        <v/>
      </c>
    </row>
    <row r="15">
      <c r="A15" t="inlineStr">
        <is>
          <t>Total Costs</t>
        </is>
      </c>
      <c r="B15">
        <f>SUM(B9:B14)</f>
        <v/>
      </c>
      <c r="C15">
        <f>SUM(C9:C14)</f>
        <v/>
      </c>
      <c r="D15">
        <f>SUM(D9:D14)</f>
        <v/>
      </c>
      <c r="E15">
        <f>SUM(E9:E14)</f>
        <v/>
      </c>
      <c r="F15">
        <f>SUM(B15:E15)</f>
        <v/>
      </c>
    </row>
    <row r="16">
      <c r="A16" t="inlineStr">
        <is>
          <t>EBITDA</t>
        </is>
      </c>
      <c r="B16">
        <f>B8-B15</f>
        <v/>
      </c>
      <c r="C16">
        <f>C8-C15</f>
        <v/>
      </c>
      <c r="D16">
        <f>D8-D15</f>
        <v/>
      </c>
      <c r="E16">
        <f>E8-E15</f>
        <v/>
      </c>
      <c r="F16">
        <f>SUM(B16:E16)</f>
        <v/>
      </c>
    </row>
    <row r="17">
      <c r="A17" t="inlineStr">
        <is>
          <t>Depreciation</t>
        </is>
      </c>
      <c r="B17">
        <f>B8*Config!$B$9/4</f>
        <v/>
      </c>
      <c r="C17">
        <f>C8*Config!$B$9/4</f>
        <v/>
      </c>
      <c r="D17">
        <f>D8*Config!$B$9/4</f>
        <v/>
      </c>
      <c r="E17">
        <f>E8*Config!$B$9/4</f>
        <v/>
      </c>
      <c r="F17">
        <f>SUM(B17:E17)</f>
        <v/>
      </c>
    </row>
    <row r="18">
      <c r="A18" t="inlineStr">
        <is>
          <t>Intercompany Interest</t>
        </is>
      </c>
      <c r="B18">
        <f>-20000*Config!$B$8/4</f>
        <v/>
      </c>
      <c r="C18">
        <f>-20000*Config!$B$8/4</f>
        <v/>
      </c>
      <c r="D18">
        <f>-20000*Config!$B$8/4</f>
        <v/>
      </c>
      <c r="E18">
        <f>-20000*Config!$B$8/4</f>
        <v/>
      </c>
      <c r="F18">
        <f>SUM(B18:E18)</f>
        <v/>
      </c>
    </row>
    <row r="19">
      <c r="A19" t="inlineStr">
        <is>
          <t>EBT</t>
        </is>
      </c>
      <c r="B19">
        <f>B16-B17-B18</f>
        <v/>
      </c>
      <c r="C19">
        <f>C16-C17-C18</f>
        <v/>
      </c>
      <c r="D19">
        <f>D16-D17-D18</f>
        <v/>
      </c>
      <c r="E19">
        <f>E16-E17-E18</f>
        <v/>
      </c>
      <c r="F19">
        <f>SUM(B19:E19)</f>
        <v/>
      </c>
    </row>
    <row r="20">
      <c r="A20" t="inlineStr">
        <is>
          <t>Income Tax</t>
        </is>
      </c>
      <c r="B20">
        <f>IF(B19&gt;0,B19*Config!$B$6,0)</f>
        <v/>
      </c>
      <c r="C20">
        <f>IF(C19&gt;0,C19*Config!$B$6,0)</f>
        <v/>
      </c>
      <c r="D20">
        <f>IF(D19&gt;0,D19*Config!$B$6,0)</f>
        <v/>
      </c>
      <c r="E20">
        <f>IF(E19&gt;0,E19*Config!$B$6,0)</f>
        <v/>
      </c>
      <c r="F20">
        <f>SUM(B20:E20)</f>
        <v/>
      </c>
    </row>
    <row r="21">
      <c r="A21" t="inlineStr">
        <is>
          <t>Net Income</t>
        </is>
      </c>
      <c r="B21">
        <f>B19-B20</f>
        <v/>
      </c>
      <c r="C21">
        <f>C19-C20</f>
        <v/>
      </c>
      <c r="D21">
        <f>D19-D20</f>
        <v/>
      </c>
      <c r="E21">
        <f>E19-E20</f>
        <v/>
      </c>
      <c r="F21">
        <f>SUM(B21:E21)</f>
        <v/>
      </c>
    </row>
    <row r="22">
      <c r="A22" t="inlineStr">
        <is>
          <t>EBITDA Margin</t>
        </is>
      </c>
      <c r="B22">
        <f>IF(B8&gt;0,B16/B8,0)</f>
        <v/>
      </c>
      <c r="C22">
        <f>IF(C8&gt;0,C16/C8,0)</f>
        <v/>
      </c>
      <c r="D22">
        <f>IF(D8&gt;0,D16/D8,0)</f>
        <v/>
      </c>
      <c r="E22">
        <f>IF(E8&gt;0,E16/E8,0)</f>
        <v/>
      </c>
      <c r="F22">
        <f>IF(F8&gt;0,F16/F8,0)</f>
        <v/>
      </c>
    </row>
    <row r="23">
      <c r="A23" t="inlineStr">
        <is>
          <t>Net Margin</t>
        </is>
      </c>
      <c r="B23">
        <f>IF(B8&gt;0,B21/B8,0)</f>
        <v/>
      </c>
      <c r="C23">
        <f>IF(C8&gt;0,C21/C8,0)</f>
        <v/>
      </c>
      <c r="D23">
        <f>IF(D8&gt;0,D21/D8,0)</f>
        <v/>
      </c>
      <c r="E23">
        <f>IF(E8&gt;0,E21/E8,0)</f>
        <v/>
      </c>
      <c r="F23">
        <f>IF(F8&gt;0,F21/F8,0)</f>
        <v/>
      </c>
    </row>
    <row r="25">
      <c r="A25" t="inlineStr">
        <is>
          <t>BALANCE SHEET</t>
        </is>
      </c>
    </row>
    <row r="26">
      <c r="A26" t="inlineStr">
        <is>
          <t>Item</t>
        </is>
      </c>
      <c r="B26" t="inlineStr">
        <is>
          <t>Amount</t>
        </is>
      </c>
      <c r="C26" t="inlineStr">
        <is>
          <t>EUR Equivalent</t>
        </is>
      </c>
    </row>
    <row r="27">
      <c r="A27" t="inlineStr">
        <is>
          <t>Cash</t>
        </is>
      </c>
      <c r="B27" t="n">
        <v>60000</v>
      </c>
      <c r="C27">
        <f>B27*Config!$B$10</f>
        <v/>
      </c>
    </row>
    <row r="28">
      <c r="A28" t="inlineStr">
        <is>
          <t>Receivables</t>
        </is>
      </c>
      <c r="B28" t="n">
        <v>35000</v>
      </c>
      <c r="C28">
        <f>B28*Config!$B$10</f>
        <v/>
      </c>
    </row>
    <row r="29">
      <c r="A29" t="inlineStr">
        <is>
          <t>Inventory</t>
        </is>
      </c>
      <c r="B29" t="n">
        <v>25000</v>
      </c>
      <c r="C29">
        <f>B29*Config!$B$10</f>
        <v/>
      </c>
    </row>
    <row r="30">
      <c r="A30" t="inlineStr">
        <is>
          <t>Intercompany Receivable</t>
        </is>
      </c>
      <c r="B30" t="n">
        <v>0</v>
      </c>
      <c r="C30">
        <f>B30*Config!$B$10</f>
        <v/>
      </c>
    </row>
    <row r="31">
      <c r="A31" t="inlineStr">
        <is>
          <t>Fixed Assets (net)</t>
        </is>
      </c>
      <c r="B31" t="n">
        <v>150000</v>
      </c>
      <c r="C31">
        <f>B31*Config!$B$10</f>
        <v/>
      </c>
    </row>
    <row r="32">
      <c r="A32" t="inlineStr">
        <is>
          <t>Total Assets</t>
        </is>
      </c>
      <c r="B32">
        <f>SUM(B27:B31)</f>
        <v/>
      </c>
      <c r="C32">
        <f>SUM(C27:C31)</f>
        <v/>
      </c>
    </row>
    <row r="33">
      <c r="A33" t="inlineStr">
        <is>
          <t>Payables</t>
        </is>
      </c>
      <c r="B33" t="n">
        <v>28000</v>
      </c>
      <c r="C33">
        <f>B33*Config!$B$10</f>
        <v/>
      </c>
    </row>
    <row r="34">
      <c r="A34" t="inlineStr">
        <is>
          <t>Intercompany Payable</t>
        </is>
      </c>
      <c r="B34" t="n">
        <v>20000</v>
      </c>
      <c r="C34">
        <f>B34*Config!$B$10</f>
        <v/>
      </c>
    </row>
    <row r="35">
      <c r="A35" t="inlineStr">
        <is>
          <t>Debt</t>
        </is>
      </c>
      <c r="B35" t="n">
        <v>80000</v>
      </c>
      <c r="C35">
        <f>B35*Config!$B$10</f>
        <v/>
      </c>
    </row>
    <row r="36">
      <c r="A36" t="inlineStr">
        <is>
          <t>Equity</t>
        </is>
      </c>
      <c r="B36">
        <f>B32-SUM(B33:B35)</f>
        <v/>
      </c>
      <c r="C36">
        <f>B36*Config!$B$10</f>
        <v/>
      </c>
    </row>
    <row r="37">
      <c r="A37" t="inlineStr">
        <is>
          <t>Total Liabilities + Equity</t>
        </is>
      </c>
      <c r="B37">
        <f>SUM(B33:B36)</f>
        <v/>
      </c>
      <c r="C37">
        <f>SUM(C33:C36)</f>
        <v/>
      </c>
    </row>
    <row r="38">
      <c r="A38" t="inlineStr">
        <is>
          <t>Balance Check</t>
        </is>
      </c>
      <c r="B38">
        <f>IF(ABS(B32-B37)&lt;0.01,"OK","ERROR")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Entity_C — Standalone Financials</t>
        </is>
      </c>
    </row>
    <row r="2">
      <c r="A2" t="inlineStr">
        <is>
          <t>All amounts in local currency</t>
        </is>
      </c>
    </row>
    <row r="4">
      <c r="A4" t="inlineStr">
        <is>
          <t>PROFIT &amp; LOSS</t>
        </is>
      </c>
    </row>
    <row r="5">
      <c r="A5" t="inlineStr">
        <is>
          <t>Item</t>
        </is>
      </c>
      <c r="B5" t="inlineStr">
        <is>
          <t>Q1</t>
        </is>
      </c>
      <c r="C5" t="inlineStr">
        <is>
          <t>Q2</t>
        </is>
      </c>
      <c r="D5" t="inlineStr">
        <is>
          <t>Q3</t>
        </is>
      </c>
      <c r="E5" t="inlineStr">
        <is>
          <t>Q4</t>
        </is>
      </c>
      <c r="F5" t="inlineStr">
        <is>
          <t>FY</t>
        </is>
      </c>
    </row>
    <row r="6">
      <c r="A6" t="inlineStr">
        <is>
          <t>External Revenue</t>
        </is>
      </c>
      <c r="B6" t="n">
        <v>65000</v>
      </c>
      <c r="C6" t="n">
        <v>72000</v>
      </c>
      <c r="D6" t="n">
        <v>80000</v>
      </c>
      <c r="E6" t="n">
        <v>75000</v>
      </c>
      <c r="F6">
        <f>SUM(B6:E6)</f>
        <v/>
      </c>
    </row>
    <row r="7">
      <c r="A7" t="inlineStr">
        <is>
          <t>Intercompany Revenue</t>
        </is>
      </c>
      <c r="B7" t="n">
        <v>0</v>
      </c>
      <c r="C7" t="n">
        <v>0</v>
      </c>
      <c r="D7" t="n">
        <v>0</v>
      </c>
      <c r="E7" t="n">
        <v>0</v>
      </c>
      <c r="F7">
        <f>SUM(B7:E7)</f>
        <v/>
      </c>
    </row>
    <row r="8">
      <c r="A8" t="inlineStr">
        <is>
          <t>Total Revenue</t>
        </is>
      </c>
      <c r="B8">
        <f>B6+B7</f>
        <v/>
      </c>
      <c r="C8">
        <f>C6+C7</f>
        <v/>
      </c>
      <c r="D8">
        <f>D6+D7</f>
        <v/>
      </c>
      <c r="E8">
        <f>E6+E7</f>
        <v/>
      </c>
      <c r="F8">
        <f>SUM(B8:E8)</f>
        <v/>
      </c>
    </row>
    <row r="9">
      <c r="A9" t="inlineStr">
        <is>
          <t>COGS</t>
        </is>
      </c>
      <c r="B9">
        <f>B8*0.42</f>
        <v/>
      </c>
      <c r="C9">
        <f>C8*0.42</f>
        <v/>
      </c>
      <c r="D9">
        <f>D8*0.42</f>
        <v/>
      </c>
      <c r="E9">
        <f>E8*0.42</f>
        <v/>
      </c>
      <c r="F9">
        <f>SUM(B9:E9)</f>
        <v/>
      </c>
    </row>
    <row r="10">
      <c r="A10" t="inlineStr">
        <is>
          <t>Intercompany COGS</t>
        </is>
      </c>
      <c r="B10" t="n">
        <v>0</v>
      </c>
      <c r="C10" t="n">
        <v>0</v>
      </c>
      <c r="D10" t="n">
        <v>0</v>
      </c>
      <c r="E10" t="n">
        <v>0</v>
      </c>
      <c r="F10">
        <f>SUM(B10:E10)</f>
        <v/>
      </c>
    </row>
    <row r="11">
      <c r="A11" t="inlineStr">
        <is>
          <t>Personnel</t>
        </is>
      </c>
      <c r="B11">
        <f>B8*0.22</f>
        <v/>
      </c>
      <c r="C11">
        <f>C8*0.22</f>
        <v/>
      </c>
      <c r="D11">
        <f>D8*0.22</f>
        <v/>
      </c>
      <c r="E11">
        <f>E8*0.22</f>
        <v/>
      </c>
      <c r="F11">
        <f>SUM(B11:E11)</f>
        <v/>
      </c>
    </row>
    <row r="12">
      <c r="A12" t="inlineStr">
        <is>
          <t>Rent &amp; Utilities</t>
        </is>
      </c>
      <c r="B12">
        <f>B8*0.04</f>
        <v/>
      </c>
      <c r="C12">
        <f>C8*0.04</f>
        <v/>
      </c>
      <c r="D12">
        <f>D8*0.04</f>
        <v/>
      </c>
      <c r="E12">
        <f>E8*0.04</f>
        <v/>
      </c>
      <c r="F12">
        <f>SUM(B12:E12)</f>
        <v/>
      </c>
    </row>
    <row r="13">
      <c r="A13" t="inlineStr">
        <is>
          <t>Marketing</t>
        </is>
      </c>
      <c r="B13">
        <f>B8*0.06</f>
        <v/>
      </c>
      <c r="C13">
        <f>C8*0.06</f>
        <v/>
      </c>
      <c r="D13">
        <f>D8*0.06</f>
        <v/>
      </c>
      <c r="E13">
        <f>E8*0.06</f>
        <v/>
      </c>
      <c r="F13">
        <f>SUM(B13:E13)</f>
        <v/>
      </c>
    </row>
    <row r="14">
      <c r="A14" t="inlineStr">
        <is>
          <t>Other OpEx</t>
        </is>
      </c>
      <c r="B14">
        <f>B8*0.03</f>
        <v/>
      </c>
      <c r="C14">
        <f>C8*0.03</f>
        <v/>
      </c>
      <c r="D14">
        <f>D8*0.03</f>
        <v/>
      </c>
      <c r="E14">
        <f>E8*0.03</f>
        <v/>
      </c>
      <c r="F14">
        <f>SUM(B14:E14)</f>
        <v/>
      </c>
    </row>
    <row r="15">
      <c r="A15" t="inlineStr">
        <is>
          <t>Total Costs</t>
        </is>
      </c>
      <c r="B15">
        <f>SUM(B9:B14)</f>
        <v/>
      </c>
      <c r="C15">
        <f>SUM(C9:C14)</f>
        <v/>
      </c>
      <c r="D15">
        <f>SUM(D9:D14)</f>
        <v/>
      </c>
      <c r="E15">
        <f>SUM(E9:E14)</f>
        <v/>
      </c>
      <c r="F15">
        <f>SUM(B15:E15)</f>
        <v/>
      </c>
    </row>
    <row r="16">
      <c r="A16" t="inlineStr">
        <is>
          <t>EBITDA</t>
        </is>
      </c>
      <c r="B16">
        <f>B8-B15</f>
        <v/>
      </c>
      <c r="C16">
        <f>C8-C15</f>
        <v/>
      </c>
      <c r="D16">
        <f>D8-D15</f>
        <v/>
      </c>
      <c r="E16">
        <f>E8-E15</f>
        <v/>
      </c>
      <c r="F16">
        <f>SUM(B16:E16)</f>
        <v/>
      </c>
    </row>
    <row r="17">
      <c r="A17" t="inlineStr">
        <is>
          <t>Depreciation</t>
        </is>
      </c>
      <c r="B17">
        <f>B8*Config!$B$9/4</f>
        <v/>
      </c>
      <c r="C17">
        <f>C8*Config!$B$9/4</f>
        <v/>
      </c>
      <c r="D17">
        <f>D8*Config!$B$9/4</f>
        <v/>
      </c>
      <c r="E17">
        <f>E8*Config!$B$9/4</f>
        <v/>
      </c>
      <c r="F17">
        <f>SUM(B17:E17)</f>
        <v/>
      </c>
    </row>
    <row r="18">
      <c r="A18" t="inlineStr">
        <is>
          <t>Intercompany Interest</t>
        </is>
      </c>
      <c r="B18">
        <f>0*Config!$B$8/4</f>
        <v/>
      </c>
      <c r="C18">
        <f>0*Config!$B$8/4</f>
        <v/>
      </c>
      <c r="D18">
        <f>0*Config!$B$8/4</f>
        <v/>
      </c>
      <c r="E18">
        <f>0*Config!$B$8/4</f>
        <v/>
      </c>
      <c r="F18">
        <f>SUM(B18:E18)</f>
        <v/>
      </c>
    </row>
    <row r="19">
      <c r="A19" t="inlineStr">
        <is>
          <t>EBT</t>
        </is>
      </c>
      <c r="B19">
        <f>B16-B17-B18</f>
        <v/>
      </c>
      <c r="C19">
        <f>C16-C17-C18</f>
        <v/>
      </c>
      <c r="D19">
        <f>D16-D17-D18</f>
        <v/>
      </c>
      <c r="E19">
        <f>E16-E17-E18</f>
        <v/>
      </c>
      <c r="F19">
        <f>SUM(B19:E19)</f>
        <v/>
      </c>
    </row>
    <row r="20">
      <c r="A20" t="inlineStr">
        <is>
          <t>Income Tax</t>
        </is>
      </c>
      <c r="B20">
        <f>IF(B19&gt;0,B19*Config!$B$6,0)</f>
        <v/>
      </c>
      <c r="C20">
        <f>IF(C19&gt;0,C19*Config!$B$6,0)</f>
        <v/>
      </c>
      <c r="D20">
        <f>IF(D19&gt;0,D19*Config!$B$6,0)</f>
        <v/>
      </c>
      <c r="E20">
        <f>IF(E19&gt;0,E19*Config!$B$6,0)</f>
        <v/>
      </c>
      <c r="F20">
        <f>SUM(B20:E20)</f>
        <v/>
      </c>
    </row>
    <row r="21">
      <c r="A21" t="inlineStr">
        <is>
          <t>Net Income</t>
        </is>
      </c>
      <c r="B21">
        <f>B19-B20</f>
        <v/>
      </c>
      <c r="C21">
        <f>C19-C20</f>
        <v/>
      </c>
      <c r="D21">
        <f>D19-D20</f>
        <v/>
      </c>
      <c r="E21">
        <f>E19-E20</f>
        <v/>
      </c>
      <c r="F21">
        <f>SUM(B21:E21)</f>
        <v/>
      </c>
    </row>
    <row r="22">
      <c r="A22" t="inlineStr">
        <is>
          <t>EBITDA Margin</t>
        </is>
      </c>
      <c r="B22">
        <f>IF(B8&gt;0,B16/B8,0)</f>
        <v/>
      </c>
      <c r="C22">
        <f>IF(C8&gt;0,C16/C8,0)</f>
        <v/>
      </c>
      <c r="D22">
        <f>IF(D8&gt;0,D16/D8,0)</f>
        <v/>
      </c>
      <c r="E22">
        <f>IF(E8&gt;0,E16/E8,0)</f>
        <v/>
      </c>
      <c r="F22">
        <f>IF(F8&gt;0,F16/F8,0)</f>
        <v/>
      </c>
    </row>
    <row r="23">
      <c r="A23" t="inlineStr">
        <is>
          <t>Net Margin</t>
        </is>
      </c>
      <c r="B23">
        <f>IF(B8&gt;0,B21/B8,0)</f>
        <v/>
      </c>
      <c r="C23">
        <f>IF(C8&gt;0,C21/C8,0)</f>
        <v/>
      </c>
      <c r="D23">
        <f>IF(D8&gt;0,D21/D8,0)</f>
        <v/>
      </c>
      <c r="E23">
        <f>IF(E8&gt;0,E21/E8,0)</f>
        <v/>
      </c>
      <c r="F23">
        <f>IF(F8&gt;0,F21/F8,0)</f>
        <v/>
      </c>
    </row>
    <row r="25">
      <c r="A25" t="inlineStr">
        <is>
          <t>BALANCE SHEET</t>
        </is>
      </c>
    </row>
    <row r="26">
      <c r="A26" t="inlineStr">
        <is>
          <t>Item</t>
        </is>
      </c>
      <c r="B26" t="inlineStr">
        <is>
          <t>Amount</t>
        </is>
      </c>
      <c r="C26" t="inlineStr">
        <is>
          <t>EUR Equivalent</t>
        </is>
      </c>
    </row>
    <row r="27">
      <c r="A27" t="inlineStr">
        <is>
          <t>Cash</t>
        </is>
      </c>
      <c r="B27" t="n">
        <v>40000</v>
      </c>
      <c r="C27">
        <f>B27*Config!$B$11</f>
        <v/>
      </c>
    </row>
    <row r="28">
      <c r="A28" t="inlineStr">
        <is>
          <t>Receivables</t>
        </is>
      </c>
      <c r="B28" t="n">
        <v>22000</v>
      </c>
      <c r="C28">
        <f>B28*Config!$B$11</f>
        <v/>
      </c>
    </row>
    <row r="29">
      <c r="A29" t="inlineStr">
        <is>
          <t>Inventory</t>
        </is>
      </c>
      <c r="B29" t="n">
        <v>18000</v>
      </c>
      <c r="C29">
        <f>B29*Config!$B$11</f>
        <v/>
      </c>
    </row>
    <row r="30">
      <c r="A30" t="inlineStr">
        <is>
          <t>Intercompany Receivable</t>
        </is>
      </c>
      <c r="B30" t="n">
        <v>0</v>
      </c>
      <c r="C30">
        <f>B30*Config!$B$11</f>
        <v/>
      </c>
    </row>
    <row r="31">
      <c r="A31" t="inlineStr">
        <is>
          <t>Fixed Assets (net)</t>
        </is>
      </c>
      <c r="B31" t="n">
        <v>120000</v>
      </c>
      <c r="C31">
        <f>B31*Config!$B$11</f>
        <v/>
      </c>
    </row>
    <row r="32">
      <c r="A32" t="inlineStr">
        <is>
          <t>Total Assets</t>
        </is>
      </c>
      <c r="B32">
        <f>SUM(B27:B31)</f>
        <v/>
      </c>
      <c r="C32">
        <f>SUM(C27:C31)</f>
        <v/>
      </c>
    </row>
    <row r="33">
      <c r="A33" t="inlineStr">
        <is>
          <t>Payables</t>
        </is>
      </c>
      <c r="B33" t="n">
        <v>18000</v>
      </c>
      <c r="C33">
        <f>B33*Config!$B$11</f>
        <v/>
      </c>
    </row>
    <row r="34">
      <c r="A34" t="inlineStr">
        <is>
          <t>Intercompany Payable</t>
        </is>
      </c>
      <c r="B34" t="n">
        <v>0</v>
      </c>
      <c r="C34">
        <f>B34*Config!$B$11</f>
        <v/>
      </c>
    </row>
    <row r="35">
      <c r="A35" t="inlineStr">
        <is>
          <t>Debt</t>
        </is>
      </c>
      <c r="B35" t="n">
        <v>60000</v>
      </c>
      <c r="C35">
        <f>B35*Config!$B$11</f>
        <v/>
      </c>
    </row>
    <row r="36">
      <c r="A36" t="inlineStr">
        <is>
          <t>Equity</t>
        </is>
      </c>
      <c r="B36">
        <f>B32-SUM(B33:B35)</f>
        <v/>
      </c>
      <c r="C36">
        <f>B36*Config!$B$11</f>
        <v/>
      </c>
    </row>
    <row r="37">
      <c r="A37" t="inlineStr">
        <is>
          <t>Total Liabilities + Equity</t>
        </is>
      </c>
      <c r="B37">
        <f>SUM(B33:B36)</f>
        <v/>
      </c>
      <c r="C37">
        <f>SUM(C33:C36)</f>
        <v/>
      </c>
    </row>
    <row r="38">
      <c r="A38" t="inlineStr">
        <is>
          <t>Balance Check</t>
        </is>
      </c>
      <c r="B38">
        <f>IF(ABS(B32-B37)&lt;0.01,"OK","ERROR")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Intercompany Eliminations</t>
        </is>
      </c>
    </row>
    <row r="3">
      <c r="A3" t="inlineStr">
        <is>
          <t>Item</t>
        </is>
      </c>
      <c r="B3" t="inlineStr">
        <is>
          <t>Entity From</t>
        </is>
      </c>
      <c r="C3" t="inlineStr">
        <is>
          <t>Entity To</t>
        </is>
      </c>
      <c r="D3" t="inlineStr">
        <is>
          <t>Amount (EUR)</t>
        </is>
      </c>
      <c r="E3" t="inlineStr">
        <is>
          <t>Elimination</t>
        </is>
      </c>
    </row>
    <row r="4">
      <c r="A4" t="inlineStr">
        <is>
          <t>Interco Revenue A→B</t>
        </is>
      </c>
      <c r="B4" t="inlineStr">
        <is>
          <t>Entity_A</t>
        </is>
      </c>
      <c r="C4" t="inlineStr">
        <is>
          <t>Entity_B</t>
        </is>
      </c>
      <c r="D4">
        <f>Entity_A!F7</f>
        <v/>
      </c>
      <c r="E4">
        <f>D4</f>
        <v/>
      </c>
    </row>
    <row r="5">
      <c r="A5" t="inlineStr">
        <is>
          <t>Interco COGS B←A</t>
        </is>
      </c>
      <c r="B5" t="inlineStr">
        <is>
          <t>Entity_B</t>
        </is>
      </c>
      <c r="C5" t="inlineStr">
        <is>
          <t>Entity_A</t>
        </is>
      </c>
      <c r="D5">
        <f>Entity_B!F10*Config!$B$10</f>
        <v/>
      </c>
      <c r="E5">
        <f>D5</f>
        <v/>
      </c>
    </row>
    <row r="7">
      <c r="A7" t="inlineStr">
        <is>
          <t>Interco Loan A→B</t>
        </is>
      </c>
      <c r="B7" t="inlineStr">
        <is>
          <t>Entity_A</t>
        </is>
      </c>
      <c r="C7" t="inlineStr">
        <is>
          <t>Entity_B</t>
        </is>
      </c>
      <c r="D7">
        <f>Entity_A!B30</f>
        <v/>
      </c>
      <c r="E7">
        <f>D7</f>
        <v/>
      </c>
    </row>
    <row r="8">
      <c r="A8" t="inlineStr">
        <is>
          <t>Interco Loan B←A</t>
        </is>
      </c>
      <c r="B8" t="inlineStr">
        <is>
          <t>Entity_B</t>
        </is>
      </c>
      <c r="C8" t="inlineStr">
        <is>
          <t>Entity_A</t>
        </is>
      </c>
      <c r="D8">
        <f>Entity_B!B34*Config!$B$10</f>
        <v/>
      </c>
      <c r="E8">
        <f>D8</f>
        <v/>
      </c>
    </row>
    <row r="10">
      <c r="A10" t="inlineStr">
        <is>
          <t>Interco Interest A (income)</t>
        </is>
      </c>
      <c r="D10">
        <f>Entity_A!F18</f>
        <v/>
      </c>
      <c r="E10">
        <f>D10</f>
        <v/>
      </c>
    </row>
    <row r="11">
      <c r="A11" t="inlineStr">
        <is>
          <t>Interco Interest B (expense)</t>
        </is>
      </c>
      <c r="D11">
        <f>Entity_B!F18*Config!$B$10</f>
        <v/>
      </c>
      <c r="E11">
        <f>D11</f>
        <v/>
      </c>
    </row>
    <row r="13">
      <c r="A13" t="inlineStr">
        <is>
          <t>Total Revenue Elimination</t>
        </is>
      </c>
      <c r="D13">
        <f>D4</f>
        <v/>
      </c>
    </row>
    <row r="14">
      <c r="A14" t="inlineStr">
        <is>
          <t>Total Cost Elimination</t>
        </is>
      </c>
      <c r="D14">
        <f>D5</f>
        <v/>
      </c>
    </row>
    <row r="15">
      <c r="A15" t="inlineStr">
        <is>
          <t>Total Asset Elimination</t>
        </is>
      </c>
      <c r="D15">
        <f>D7</f>
        <v/>
      </c>
    </row>
    <row r="16">
      <c r="A16" t="inlineStr">
        <is>
          <t>Total Liability Elimination</t>
        </is>
      </c>
      <c r="D16">
        <f>D8</f>
        <v/>
      </c>
    </row>
    <row r="17">
      <c r="A17" t="inlineStr">
        <is>
          <t>Net Interest Elimination</t>
        </is>
      </c>
      <c r="D17">
        <f>D10+D11</f>
        <v/>
      </c>
    </row>
    <row r="19">
      <c r="A19" t="inlineStr">
        <is>
          <t>Revenue/COGS Match</t>
        </is>
      </c>
      <c r="D19">
        <f>IF(ABS(D13-D14)&lt;1,"OK","MISMATCH")</f>
        <v/>
      </c>
    </row>
    <row r="20">
      <c r="A20" t="inlineStr">
        <is>
          <t>Loan Match</t>
        </is>
      </c>
      <c r="D20">
        <f>IF(ABS(D15-D16)&lt;1,"OK","MISMATCH")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Consolidated Group Financials</t>
        </is>
      </c>
    </row>
    <row r="2">
      <c r="A2" t="inlineStr">
        <is>
          <t>All amounts in EUR</t>
        </is>
      </c>
    </row>
    <row r="4">
      <c r="A4" t="inlineStr">
        <is>
          <t>CONSOLIDATED P&amp;L</t>
        </is>
      </c>
    </row>
    <row r="5">
      <c r="A5" t="inlineStr">
        <is>
          <t>Item</t>
        </is>
      </c>
      <c r="B5" t="inlineStr">
        <is>
          <t>Entity A</t>
        </is>
      </c>
      <c r="C5" t="inlineStr">
        <is>
          <t>Entity B (EUR)</t>
        </is>
      </c>
      <c r="D5" t="inlineStr">
        <is>
          <t>Entity C (EUR)</t>
        </is>
      </c>
      <c r="E5" t="inlineStr">
        <is>
          <t>Eliminations</t>
        </is>
      </c>
      <c r="F5" t="inlineStr">
        <is>
          <t>Consolidated</t>
        </is>
      </c>
    </row>
    <row r="6">
      <c r="A6" t="inlineStr">
        <is>
          <t>Total Revenue</t>
        </is>
      </c>
      <c r="B6">
        <f>Entity_A!F8</f>
        <v/>
      </c>
      <c r="C6">
        <f>Entity_B!F8*Config!$B$10</f>
        <v/>
      </c>
      <c r="D6">
        <f>Entity_C!F8*Config!$B$11</f>
        <v/>
      </c>
      <c r="E6">
        <f>-Intercompany!D13</f>
        <v/>
      </c>
      <c r="F6">
        <f>SUM(B6:E6)</f>
        <v/>
      </c>
    </row>
    <row r="7">
      <c r="A7" t="inlineStr">
        <is>
          <t>External Revenue</t>
        </is>
      </c>
      <c r="B7">
        <f>Entity_A!F6</f>
        <v/>
      </c>
      <c r="C7">
        <f>Entity_B!F6*Config!$B$10</f>
        <v/>
      </c>
      <c r="D7">
        <f>Entity_C!F6*Config!$B$11</f>
        <v/>
      </c>
      <c r="E7" t="n">
        <v>0</v>
      </c>
      <c r="F7">
        <f>SUM(B7:E7)</f>
        <v/>
      </c>
    </row>
    <row r="8">
      <c r="A8" t="inlineStr">
        <is>
          <t>Total Costs</t>
        </is>
      </c>
      <c r="B8">
        <f>Entity_A!F15</f>
        <v/>
      </c>
      <c r="C8">
        <f>Entity_B!F15*Config!$B$10</f>
        <v/>
      </c>
      <c r="D8">
        <f>Entity_C!F15*Config!$B$11</f>
        <v/>
      </c>
      <c r="E8">
        <f>-Intercompany!D14</f>
        <v/>
      </c>
      <c r="F8">
        <f>SUM(B8:E8)</f>
        <v/>
      </c>
    </row>
    <row r="9">
      <c r="A9" t="inlineStr">
        <is>
          <t>EBITDA</t>
        </is>
      </c>
      <c r="B9">
        <f>Entity_A!F16</f>
        <v/>
      </c>
      <c r="C9">
        <f>Entity_B!F16*Config!$B$10</f>
        <v/>
      </c>
      <c r="D9">
        <f>Entity_C!F16*Config!$B$11</f>
        <v/>
      </c>
      <c r="E9">
        <f>E6-E8</f>
        <v/>
      </c>
      <c r="F9">
        <f>SUM(B9:E9)</f>
        <v/>
      </c>
    </row>
    <row r="10">
      <c r="A10" t="inlineStr">
        <is>
          <t>Depreciation</t>
        </is>
      </c>
      <c r="B10">
        <f>Entity_A!F17</f>
        <v/>
      </c>
      <c r="C10">
        <f>Entity_B!F17*Config!$B$10</f>
        <v/>
      </c>
      <c r="D10">
        <f>Entity_C!F17*Config!$B$11</f>
        <v/>
      </c>
      <c r="E10" t="n">
        <v>0</v>
      </c>
      <c r="F10">
        <f>SUM(B10:E10)</f>
        <v/>
      </c>
    </row>
    <row r="11">
      <c r="A11" t="inlineStr">
        <is>
          <t>Goodwill Amortization</t>
        </is>
      </c>
      <c r="E11">
        <f>Config!B14*Config!B9</f>
        <v/>
      </c>
      <c r="F11">
        <f>E11</f>
        <v/>
      </c>
    </row>
    <row r="12">
      <c r="A12" t="inlineStr">
        <is>
          <t>EBIT</t>
        </is>
      </c>
      <c r="F12">
        <f>F9-F10-F11</f>
        <v/>
      </c>
    </row>
    <row r="13">
      <c r="A13" t="inlineStr">
        <is>
          <t>Net Interest</t>
        </is>
      </c>
      <c r="B13">
        <f>Entity_A!F18</f>
        <v/>
      </c>
      <c r="C13">
        <f>Entity_B!F18*Config!$B$10</f>
        <v/>
      </c>
      <c r="D13">
        <f>Entity_C!F18*Config!$B$11</f>
        <v/>
      </c>
      <c r="E13">
        <f>-Intercompany!D17</f>
        <v/>
      </c>
      <c r="F13">
        <f>SUM(B13:E13)</f>
        <v/>
      </c>
    </row>
    <row r="14">
      <c r="A14" t="inlineStr">
        <is>
          <t>EBT</t>
        </is>
      </c>
      <c r="F14">
        <f>F12-F13</f>
        <v/>
      </c>
    </row>
    <row r="15">
      <c r="A15" t="inlineStr">
        <is>
          <t>Income Tax</t>
        </is>
      </c>
      <c r="B15">
        <f>Entity_A!F20</f>
        <v/>
      </c>
      <c r="C15">
        <f>Entity_B!F20*Config!$B$10</f>
        <v/>
      </c>
      <c r="D15">
        <f>Entity_C!F20*Config!$B$11</f>
        <v/>
      </c>
      <c r="E15" t="n">
        <v>0</v>
      </c>
      <c r="F15">
        <f>SUM(B15:E15)</f>
        <v/>
      </c>
    </row>
    <row r="16">
      <c r="A16" t="inlineStr">
        <is>
          <t>Net Income</t>
        </is>
      </c>
      <c r="F16">
        <f>F14-F15</f>
        <v/>
      </c>
    </row>
    <row r="17">
      <c r="A17" t="inlineStr">
        <is>
          <t>Dividends</t>
        </is>
      </c>
      <c r="F17">
        <f>IF(F16&gt;0,F16*Config!$B$13,0)</f>
        <v/>
      </c>
    </row>
    <row r="18">
      <c r="A18" t="inlineStr">
        <is>
          <t>Retained Earnings</t>
        </is>
      </c>
      <c r="F18">
        <f>F16-F17</f>
        <v/>
      </c>
    </row>
    <row r="20">
      <c r="A20" t="inlineStr">
        <is>
          <t>CONSOLIDATED BALANCE SHEET</t>
        </is>
      </c>
    </row>
    <row r="21">
      <c r="A21" t="inlineStr">
        <is>
          <t>Item</t>
        </is>
      </c>
      <c r="B21" t="inlineStr">
        <is>
          <t>Entity A</t>
        </is>
      </c>
      <c r="C21" t="inlineStr">
        <is>
          <t>Entity B (EUR)</t>
        </is>
      </c>
      <c r="D21" t="inlineStr">
        <is>
          <t>Entity C (EUR)</t>
        </is>
      </c>
      <c r="E21" t="inlineStr">
        <is>
          <t>Eliminations</t>
        </is>
      </c>
      <c r="F21" t="inlineStr">
        <is>
          <t>Consolidated</t>
        </is>
      </c>
    </row>
    <row r="22">
      <c r="A22" t="inlineStr">
        <is>
          <t>Total Assets</t>
        </is>
      </c>
      <c r="B22">
        <f>Entity_A!B32</f>
        <v/>
      </c>
      <c r="C22">
        <f>Entity_B!C32</f>
        <v/>
      </c>
      <c r="D22">
        <f>Entity_C!C32</f>
        <v/>
      </c>
      <c r="E22">
        <f>-Intercompany!D15</f>
        <v/>
      </c>
      <c r="F22">
        <f>SUM(B22:E22)+Config!B14</f>
        <v/>
      </c>
    </row>
    <row r="23">
      <c r="A23" t="inlineStr">
        <is>
          <t>Total Liabilities + Equity</t>
        </is>
      </c>
      <c r="B23">
        <f>Entity_A!B37</f>
        <v/>
      </c>
      <c r="C23">
        <f>Entity_B!C37</f>
        <v/>
      </c>
      <c r="D23">
        <f>Entity_C!C37</f>
        <v/>
      </c>
      <c r="E23">
        <f>-Intercompany!D16</f>
        <v/>
      </c>
      <c r="F23">
        <f>SUM(B23:E23)+Config!B14</f>
        <v/>
      </c>
    </row>
    <row r="24">
      <c r="A24" t="inlineStr">
        <is>
          <t>Balance Check</t>
        </is>
      </c>
      <c r="F24">
        <f>IF(ABS(F22-F23)&lt;1,"BALANCED","ERROR")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Ratios — Consolidated</t>
        </is>
      </c>
    </row>
    <row r="3">
      <c r="A3" t="inlineStr">
        <is>
          <t>Profitability</t>
        </is>
      </c>
    </row>
    <row r="4">
      <c r="A4" t="inlineStr">
        <is>
          <t>Gross Margin</t>
        </is>
      </c>
      <c r="B4">
        <f>IF(Consolidated!F6&gt;0,(Consolidated!F6-Consolidated!F8)/Consolidated!F6,0)</f>
        <v/>
      </c>
    </row>
    <row r="5">
      <c r="A5" t="inlineStr">
        <is>
          <t>EBITDA Margin</t>
        </is>
      </c>
      <c r="B5">
        <f>IF(Consolidated!F6&gt;0,Consolidated!F9/Consolidated!F6,0)</f>
        <v/>
      </c>
    </row>
    <row r="6">
      <c r="A6" t="inlineStr">
        <is>
          <t>EBIT Margin</t>
        </is>
      </c>
      <c r="B6">
        <f>IF(Consolidated!F6&gt;0,Consolidated!F12/Consolidated!F6,0)</f>
        <v/>
      </c>
    </row>
    <row r="7">
      <c r="A7" t="inlineStr">
        <is>
          <t>Net Margin</t>
        </is>
      </c>
      <c r="B7">
        <f>IF(Consolidated!F6&gt;0,Consolidated!F16/Consolidated!F6,0)</f>
        <v/>
      </c>
    </row>
    <row r="8">
      <c r="A8" t="inlineStr">
        <is>
          <t>Return on Assets</t>
        </is>
      </c>
      <c r="B8">
        <f>IF(Consolidated!F22&gt;0,Consolidated!F16/Consolidated!F22,0)</f>
        <v/>
      </c>
    </row>
    <row r="10">
      <c r="A10" t="inlineStr">
        <is>
          <t>Leverage</t>
        </is>
      </c>
    </row>
    <row r="11">
      <c r="A11" t="inlineStr">
        <is>
          <t>Debt/Equity</t>
        </is>
      </c>
      <c r="B11">
        <f>IF((Consolidated!F23-Consolidated!F22+Consolidated!F23)&gt;0,(Consolidated!F22-Consolidated!F23+Consolidated!F22)/Consolidated!F23,0)</f>
        <v/>
      </c>
    </row>
    <row r="12">
      <c r="A12" t="inlineStr">
        <is>
          <t>Asset Turnover</t>
        </is>
      </c>
      <c r="B12">
        <f>IF(Consolidated!F22&gt;0,Consolidated!F6/Consolidated!F22,0)</f>
        <v/>
      </c>
    </row>
    <row r="14">
      <c r="A14" t="inlineStr">
        <is>
          <t>Growth &amp; Efficiency</t>
        </is>
      </c>
    </row>
    <row r="15">
      <c r="A15" t="inlineStr">
        <is>
          <t>Revenue per Entity</t>
        </is>
      </c>
      <c r="B15">
        <f>Consolidated!F7/3</f>
        <v/>
      </c>
    </row>
    <row r="16">
      <c r="A16" t="inlineStr">
        <is>
          <t>Cost Efficiency</t>
        </is>
      </c>
      <c r="B16">
        <f>IF(Consolidated!F6&gt;0,Consolidated!F8/Consolidated!F6,0)</f>
        <v/>
      </c>
    </row>
    <row r="18">
      <c r="A18" t="inlineStr">
        <is>
          <t>Valuation</t>
        </is>
      </c>
    </row>
    <row r="19">
      <c r="A19" t="inlineStr">
        <is>
          <t>EV/EBITDA</t>
        </is>
      </c>
      <c r="B19">
        <f>IF(Consolidated!F9&gt;0,(Consolidated!F22+50000)/Consolidated!F9,0)</f>
        <v/>
      </c>
    </row>
    <row r="20">
      <c r="A20" t="inlineStr">
        <is>
          <t>Earnings Yield</t>
        </is>
      </c>
      <c r="B20">
        <f>IF(Consolidated!F22&gt;0,Consolidated!F16/Consolidated!F22,0)</f>
        <v/>
      </c>
    </row>
    <row r="22">
      <c r="A22" t="inlineStr">
        <is>
          <t>Entity Comparison</t>
        </is>
      </c>
    </row>
    <row r="23">
      <c r="A23" t="inlineStr">
        <is>
          <t>Entity</t>
        </is>
      </c>
      <c r="B23" t="inlineStr">
        <is>
          <t>Revenue (EUR)</t>
        </is>
      </c>
      <c r="C23" t="inlineStr">
        <is>
          <t>EBITDA (EUR)</t>
        </is>
      </c>
      <c r="D23" t="inlineStr">
        <is>
          <t>EBITDA Margin</t>
        </is>
      </c>
      <c r="E23" t="inlineStr">
        <is>
          <t>Share of Group</t>
        </is>
      </c>
    </row>
    <row r="24">
      <c r="A24" t="inlineStr">
        <is>
          <t>Entity_A</t>
        </is>
      </c>
      <c r="B24">
        <f>Entity_A!F8*1</f>
        <v/>
      </c>
      <c r="C24">
        <f>Entity_A!F16*1</f>
        <v/>
      </c>
      <c r="D24">
        <f>IF(B24&gt;0,C24/B24,0)</f>
        <v/>
      </c>
      <c r="E24">
        <f>IF(Consolidated!F6&gt;0,B24/Consolidated!F6,0)</f>
        <v/>
      </c>
    </row>
    <row r="25">
      <c r="A25" t="inlineStr">
        <is>
          <t>Entity_B</t>
        </is>
      </c>
      <c r="B25">
        <f>Entity_B!F8*Config!$B$10</f>
        <v/>
      </c>
      <c r="C25">
        <f>Entity_B!F16*Config!$B$10</f>
        <v/>
      </c>
      <c r="D25">
        <f>IF(B25&gt;0,C25/B25,0)</f>
        <v/>
      </c>
      <c r="E25">
        <f>IF(Consolidated!F6&gt;0,B25/Consolidated!F6,0)</f>
        <v/>
      </c>
    </row>
    <row r="26">
      <c r="A26" t="inlineStr">
        <is>
          <t>Entity_C</t>
        </is>
      </c>
      <c r="B26">
        <f>Entity_C!F8*Config!$B$11</f>
        <v/>
      </c>
      <c r="C26">
        <f>Entity_C!F16*Config!$B$11</f>
        <v/>
      </c>
      <c r="D26">
        <f>IF(B26&gt;0,C26/B26,0)</f>
        <v/>
      </c>
      <c r="E26">
        <f>IF(Consolidated!F6&gt;0,B26/Consolidated!F6,0)</f>
        <v/>
      </c>
    </row>
    <row r="27">
      <c r="A27" t="inlineStr">
        <is>
          <t>Check Sum</t>
        </is>
      </c>
      <c r="B27">
        <f>SUM(E24:E26)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of Directors Report</t>
        </is>
      </c>
    </row>
    <row r="3">
      <c r="A3" t="inlineStr">
        <is>
          <t>Key Metrics</t>
        </is>
      </c>
    </row>
    <row r="4">
      <c r="A4" t="inlineStr">
        <is>
          <t>Group Revenue</t>
        </is>
      </c>
      <c r="B4">
        <f>Consolidated!F6</f>
        <v/>
      </c>
    </row>
    <row r="5">
      <c r="A5" t="inlineStr">
        <is>
          <t>External Revenue</t>
        </is>
      </c>
      <c r="B5">
        <f>Consolidated!F7</f>
        <v/>
      </c>
    </row>
    <row r="6">
      <c r="A6" t="inlineStr">
        <is>
          <t>EBITDA</t>
        </is>
      </c>
      <c r="B6">
        <f>Consolidated!F9</f>
        <v/>
      </c>
    </row>
    <row r="7">
      <c r="A7" t="inlineStr">
        <is>
          <t>Net Income</t>
        </is>
      </c>
      <c r="B7">
        <f>Consolidated!F16</f>
        <v/>
      </c>
    </row>
    <row r="8">
      <c r="A8" t="inlineStr">
        <is>
          <t>Dividends</t>
        </is>
      </c>
      <c r="B8">
        <f>Consolidated!F17</f>
        <v/>
      </c>
    </row>
    <row r="9">
      <c r="A9" t="inlineStr">
        <is>
          <t>Retained Earnings</t>
        </is>
      </c>
      <c r="B9">
        <f>Consolidated!F18</f>
        <v/>
      </c>
    </row>
    <row r="11">
      <c r="A11" t="inlineStr">
        <is>
          <t>Margins</t>
        </is>
      </c>
    </row>
    <row r="12">
      <c r="A12" t="inlineStr">
        <is>
          <t>Gross Margin</t>
        </is>
      </c>
      <c r="B12">
        <f>Ratios!B4</f>
        <v/>
      </c>
    </row>
    <row r="13">
      <c r="A13" t="inlineStr">
        <is>
          <t>EBITDA Margin</t>
        </is>
      </c>
      <c r="B13">
        <f>Ratios!B5</f>
        <v/>
      </c>
    </row>
    <row r="14">
      <c r="A14" t="inlineStr">
        <is>
          <t>Net Margin</t>
        </is>
      </c>
      <c r="B14">
        <f>Ratios!B7</f>
        <v/>
      </c>
    </row>
    <row r="15">
      <c r="A15" t="inlineStr">
        <is>
          <t>Return on Assets</t>
        </is>
      </c>
      <c r="B15">
        <f>Ratios!B8</f>
        <v/>
      </c>
    </row>
    <row r="17">
      <c r="A17" t="inlineStr">
        <is>
          <t>Balance Sheet</t>
        </is>
      </c>
    </row>
    <row r="18">
      <c r="A18" t="inlineStr">
        <is>
          <t>Total Assets</t>
        </is>
      </c>
      <c r="B18">
        <f>Consolidated!F22</f>
        <v/>
      </c>
    </row>
    <row r="19">
      <c r="A19" t="inlineStr">
        <is>
          <t>Total L+E</t>
        </is>
      </c>
      <c r="B19">
        <f>Consolidated!F23</f>
        <v/>
      </c>
    </row>
    <row r="20">
      <c r="A20" t="inlineStr">
        <is>
          <t>Balance Status</t>
        </is>
      </c>
      <c r="B20">
        <f>Consolidated!F24</f>
        <v/>
      </c>
    </row>
    <row r="22">
      <c r="A22" t="inlineStr">
        <is>
          <t>Entity Performance</t>
        </is>
      </c>
    </row>
    <row r="23">
      <c r="A23" t="inlineStr">
        <is>
          <t>Entity A</t>
        </is>
      </c>
      <c r="B23">
        <f>Ratios!B24</f>
        <v/>
      </c>
      <c r="C23">
        <f>Ratios!C24</f>
        <v/>
      </c>
      <c r="D23">
        <f>Ratios!D24</f>
        <v/>
      </c>
      <c r="E23">
        <f>Ratios!E24</f>
        <v/>
      </c>
    </row>
    <row r="24">
      <c r="A24" t="inlineStr">
        <is>
          <t>Entity B</t>
        </is>
      </c>
      <c r="B24">
        <f>Ratios!B25</f>
        <v/>
      </c>
      <c r="C24">
        <f>Ratios!C25</f>
        <v/>
      </c>
      <c r="D24">
        <f>Ratios!D25</f>
        <v/>
      </c>
      <c r="E24">
        <f>Ratios!E25</f>
        <v/>
      </c>
    </row>
    <row r="25">
      <c r="A25" t="inlineStr">
        <is>
          <t>Entity C</t>
        </is>
      </c>
      <c r="B25">
        <f>Ratios!B26</f>
        <v/>
      </c>
      <c r="C25">
        <f>Ratios!C26</f>
        <v/>
      </c>
      <c r="D25">
        <f>Ratios!D26</f>
        <v/>
      </c>
      <c r="E25">
        <f>Ratios!E26</f>
        <v/>
      </c>
    </row>
    <row r="27">
      <c r="A27" t="inlineStr">
        <is>
          <t>Valuation</t>
        </is>
      </c>
    </row>
    <row r="28">
      <c r="A28" t="inlineStr">
        <is>
          <t>EV/EBITDA</t>
        </is>
      </c>
      <c r="B28">
        <f>Ratios!B19</f>
        <v/>
      </c>
    </row>
    <row r="29">
      <c r="A29" t="inlineStr">
        <is>
          <t>Earnings Yield</t>
        </is>
      </c>
      <c r="B29">
        <f>Ratios!B20</f>
        <v/>
      </c>
    </row>
    <row r="31">
      <c r="A31" t="inlineStr">
        <is>
          <t>Strategic Score</t>
        </is>
      </c>
      <c r="B31">
        <f>ROUND(B14*1000+B15*500+B28,1)</f>
        <v/>
      </c>
    </row>
    <row r="32">
      <c r="A32" t="inlineStr">
        <is>
          <t>Recommendation</t>
        </is>
      </c>
      <c r="B32">
        <f>IF(B31&gt;200,"Strong Buy",IF(B31&gt;100,"Buy",IF(B31&gt;50,"Hold",IF(B31&gt;0,"Underperform","Sell"))))</f>
        <v/>
      </c>
    </row>
    <row r="34">
      <c r="A34" t="inlineStr">
        <is>
          <t>Group Effective Tax Rate</t>
        </is>
      </c>
      <c r="B34">
        <f>IF(Consolidated!F14&gt;0,Consolidated!F15/Consolidated!F14,0)</f>
        <v/>
      </c>
    </row>
    <row r="35">
      <c r="A35" t="inlineStr">
        <is>
          <t>Tax Efficiency vs Config</t>
        </is>
      </c>
      <c r="B35">
        <f>B34-Config!B16</f>
        <v/>
      </c>
    </row>
    <row r="36">
      <c r="A36" t="inlineStr">
        <is>
          <t>Tax Status</t>
        </is>
      </c>
      <c r="B36">
        <f>IF(ABS(B35)&lt;0.02,"Aligned",IF(B35&gt;0,"Over-taxed","Under-taxed"))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2026-05-10T13:17:58Z</dcterms:created>
  <dcterms:modified xmlns:dcterms="http://purl.org/dc/terms/" xmlns:xsi="http://www.w3.org/2001/XMLSchema-instance" xsi:type="dcterms:W3CDTF">2026-05-10T13:17:58Z</dcterms:modified>
</cp:coreProperties>
</file>