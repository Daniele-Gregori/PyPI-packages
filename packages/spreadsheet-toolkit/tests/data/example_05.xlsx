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UnitPrice</t>
        </is>
      </c>
      <c r="D1" t="inlineStr">
        <is>
          <t>Category</t>
        </is>
      </c>
    </row>
    <row r="2">
      <c r="A2" t="n">
        <v>101</v>
      </c>
      <c r="B2" t="inlineStr">
        <is>
          <t>Laptop</t>
        </is>
      </c>
      <c r="C2" t="n">
        <v>999.99</v>
      </c>
      <c r="D2" t="inlineStr">
        <is>
          <t>Electronics</t>
        </is>
      </c>
    </row>
    <row r="3">
      <c r="A3" t="n">
        <v>102</v>
      </c>
      <c r="B3" t="inlineStr">
        <is>
          <t>Mouse</t>
        </is>
      </c>
      <c r="C3" t="n">
        <v>29.99</v>
      </c>
      <c r="D3" t="inlineStr">
        <is>
          <t>Electronics</t>
        </is>
      </c>
    </row>
    <row r="4">
      <c r="A4" t="n">
        <v>103</v>
      </c>
      <c r="B4" t="inlineStr">
        <is>
          <t>Desk</t>
        </is>
      </c>
      <c r="C4" t="n">
        <v>249.99</v>
      </c>
      <c r="D4" t="inlineStr">
        <is>
          <t>Furniture</t>
        </is>
      </c>
    </row>
    <row r="5">
      <c r="A5" t="n">
        <v>104</v>
      </c>
      <c r="B5" t="inlineStr">
        <is>
          <t>Chair</t>
        </is>
      </c>
      <c r="C5" t="n">
        <v>349.99</v>
      </c>
      <c r="D5" t="inlineStr">
        <is>
          <t>Furniture</t>
        </is>
      </c>
    </row>
    <row r="6">
      <c r="A6" t="n">
        <v>105</v>
      </c>
      <c r="B6" t="inlineStr">
        <is>
          <t>Monitor</t>
        </is>
      </c>
      <c r="C6" t="n">
        <v>449.99</v>
      </c>
      <c r="D6" t="inlineStr">
        <is>
          <t>Electronics</t>
        </is>
      </c>
    </row>
    <row r="7">
      <c r="A7" t="n">
        <v>106</v>
      </c>
      <c r="B7" t="inlineStr">
        <is>
          <t>Keyboard</t>
        </is>
      </c>
      <c r="C7" t="n">
        <v>79.98999999999999</v>
      </c>
      <c r="D7" t="inlineStr">
        <is>
          <t>Electronics</t>
        </is>
      </c>
    </row>
    <row r="8">
      <c r="A8" t="n">
        <v>107</v>
      </c>
      <c r="B8" t="inlineStr">
        <is>
          <t>Lamp</t>
        </is>
      </c>
      <c r="C8" t="n">
        <v>59.99</v>
      </c>
      <c r="D8" t="inlineStr">
        <is>
          <t>Furniture</t>
        </is>
      </c>
    </row>
    <row r="9">
      <c r="A9" t="n">
        <v>108</v>
      </c>
      <c r="B9" t="inlineStr">
        <is>
          <t>Headset</t>
        </is>
      </c>
      <c r="C9" t="n">
        <v>129.99</v>
      </c>
      <c r="D9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Qty</t>
        </is>
      </c>
      <c r="D1" t="inlineStr">
        <is>
          <t>UnitPrice</t>
        </is>
      </c>
      <c r="E1" t="inlineStr">
        <is>
          <t>LineTotal</t>
        </is>
      </c>
      <c r="F1" t="inlineStr">
        <is>
          <t>Discount</t>
        </is>
      </c>
      <c r="G1" t="inlineStr">
        <is>
          <t>NetTotal</t>
        </is>
      </c>
    </row>
    <row r="2">
      <c r="A2" t="n">
        <v>1001</v>
      </c>
      <c r="B2" t="n">
        <v>101</v>
      </c>
      <c r="C2" t="n">
        <v>2</v>
      </c>
      <c r="D2">
        <f>VLOOKUP(B2,Products!A:C,3,FALSE)</f>
        <v/>
      </c>
      <c r="E2">
        <f>C2*D2</f>
        <v/>
      </c>
      <c r="F2">
        <f>IF(C2&gt;=5,0.1,0)</f>
        <v/>
      </c>
      <c r="G2">
        <f>E2*(1-F2)</f>
        <v/>
      </c>
    </row>
    <row r="3">
      <c r="A3" t="n">
        <v>1002</v>
      </c>
      <c r="B3" t="n">
        <v>103</v>
      </c>
      <c r="C3" t="n">
        <v>1</v>
      </c>
      <c r="D3">
        <f>VLOOKUP(B3,Products!A:C,3,FALSE)</f>
        <v/>
      </c>
      <c r="E3">
        <f>C3*D3</f>
        <v/>
      </c>
      <c r="F3">
        <f>IF(C3&gt;=5,0.1,0)</f>
        <v/>
      </c>
      <c r="G3">
        <f>E3*(1-F3)</f>
        <v/>
      </c>
    </row>
    <row r="4">
      <c r="A4" t="n">
        <v>1003</v>
      </c>
      <c r="B4" t="n">
        <v>102</v>
      </c>
      <c r="C4" t="n">
        <v>5</v>
      </c>
      <c r="D4">
        <f>VLOOKUP(B4,Products!A:C,3,FALSE)</f>
        <v/>
      </c>
      <c r="E4">
        <f>C4*D4</f>
        <v/>
      </c>
      <c r="F4">
        <f>IF(C4&gt;=5,0.1,0)</f>
        <v/>
      </c>
      <c r="G4">
        <f>E4*(1-F4)</f>
        <v/>
      </c>
    </row>
    <row r="5">
      <c r="A5" t="n">
        <v>1004</v>
      </c>
      <c r="B5" t="n">
        <v>105</v>
      </c>
      <c r="C5" t="n">
        <v>3</v>
      </c>
      <c r="D5">
        <f>VLOOKUP(B5,Products!A:C,3,FALSE)</f>
        <v/>
      </c>
      <c r="E5">
        <f>C5*D5</f>
        <v/>
      </c>
      <c r="F5">
        <f>IF(C5&gt;=5,0.1,0)</f>
        <v/>
      </c>
      <c r="G5">
        <f>E5*(1-F5)</f>
        <v/>
      </c>
    </row>
    <row r="6">
      <c r="A6" t="n">
        <v>1005</v>
      </c>
      <c r="B6" t="n">
        <v>104</v>
      </c>
      <c r="C6" t="n">
        <v>2</v>
      </c>
      <c r="D6">
        <f>VLOOKUP(B6,Products!A:C,3,FALSE)</f>
        <v/>
      </c>
      <c r="E6">
        <f>C6*D6</f>
        <v/>
      </c>
      <c r="F6">
        <f>IF(C6&gt;=5,0.1,0)</f>
        <v/>
      </c>
      <c r="G6">
        <f>E6*(1-F6)</f>
        <v/>
      </c>
    </row>
    <row r="7">
      <c r="A7" t="n">
        <v>1006</v>
      </c>
      <c r="B7" t="n">
        <v>106</v>
      </c>
      <c r="C7" t="n">
        <v>10</v>
      </c>
      <c r="D7">
        <f>VLOOKUP(B7,Products!A:C,3,FALSE)</f>
        <v/>
      </c>
      <c r="E7">
        <f>C7*D7</f>
        <v/>
      </c>
      <c r="F7">
        <f>IF(C7&gt;=5,0.1,0)</f>
        <v/>
      </c>
      <c r="G7">
        <f>E7*(1-F7)</f>
        <v/>
      </c>
    </row>
    <row r="8">
      <c r="A8" t="n">
        <v>1007</v>
      </c>
      <c r="B8" t="n">
        <v>108</v>
      </c>
      <c r="C8" t="n">
        <v>4</v>
      </c>
      <c r="D8">
        <f>VLOOKUP(B8,Products!A:C,3,FALSE)</f>
        <v/>
      </c>
      <c r="E8">
        <f>C8*D8</f>
        <v/>
      </c>
      <c r="F8">
        <f>IF(C8&gt;=5,0.1,0)</f>
        <v/>
      </c>
      <c r="G8">
        <f>E8*(1-F8)</f>
        <v/>
      </c>
    </row>
    <row r="9">
      <c r="A9" t="n">
        <v>1008</v>
      </c>
      <c r="B9" t="n">
        <v>101</v>
      </c>
      <c r="C9" t="n">
        <v>1</v>
      </c>
      <c r="D9">
        <f>VLOOKUP(B9,Products!A:C,3,FALSE)</f>
        <v/>
      </c>
      <c r="E9">
        <f>C9*D9</f>
        <v/>
      </c>
      <c r="F9">
        <f>IF(C9&gt;=5,0.1,0)</f>
        <v/>
      </c>
      <c r="G9">
        <f>E9*(1-F9)</f>
        <v/>
      </c>
    </row>
    <row r="10">
      <c r="A10" t="n">
        <v>1009</v>
      </c>
      <c r="B10" t="n">
        <v>107</v>
      </c>
      <c r="C10" t="n">
        <v>6</v>
      </c>
      <c r="D10">
        <f>VLOOKUP(B10,Products!A:C,3,FALSE)</f>
        <v/>
      </c>
      <c r="E10">
        <f>C10*D10</f>
        <v/>
      </c>
      <c r="F10">
        <f>IF(C10&gt;=5,0.1,0)</f>
        <v/>
      </c>
      <c r="G10">
        <f>E10*(1-F10)</f>
        <v/>
      </c>
    </row>
    <row r="11">
      <c r="A11" t="n">
        <v>1010</v>
      </c>
      <c r="B11" t="n">
        <v>102</v>
      </c>
      <c r="C11" t="n">
        <v>3</v>
      </c>
      <c r="D11">
        <f>VLOOKUP(B11,Products!A:C,3,FALSE)</f>
        <v/>
      </c>
      <c r="E11">
        <f>C11*D11</f>
        <v/>
      </c>
      <c r="F11">
        <f>IF(C11&gt;=5,0.1,0)</f>
        <v/>
      </c>
      <c r="G11">
        <f>E11*(1-F11)</f>
        <v/>
      </c>
    </row>
    <row r="13">
      <c r="A13" t="inlineStr">
        <is>
          <t>Totals</t>
        </is>
      </c>
      <c r="E13">
        <f>SUM(E2:E11)</f>
        <v/>
      </c>
      <c r="G13">
        <f>SUM(G2:G11)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Dashboard</t>
        </is>
      </c>
    </row>
    <row r="3">
      <c r="A3" t="inlineStr">
        <is>
          <t>Total Gross Revenue</t>
        </is>
      </c>
      <c r="B3">
        <f>Orders!E13</f>
        <v/>
      </c>
    </row>
    <row r="4">
      <c r="A4" t="inlineStr">
        <is>
          <t>Total Net Revenue</t>
        </is>
      </c>
      <c r="B4">
        <f>Orders!G13</f>
        <v/>
      </c>
    </row>
    <row r="5">
      <c r="A5" t="inlineStr">
        <is>
          <t>Total Discount Amount</t>
        </is>
      </c>
      <c r="B5">
        <f>B3-B4</f>
        <v/>
      </c>
    </row>
    <row r="6">
      <c r="A6" t="inlineStr">
        <is>
          <t>Discount Rate</t>
        </is>
      </c>
      <c r="B6">
        <f>IF(B3&gt;0,B5/B3,0)</f>
        <v/>
      </c>
    </row>
    <row r="8">
      <c r="A8" t="inlineStr">
        <is>
          <t>Avg Order Value (Gross)</t>
        </is>
      </c>
      <c r="B8">
        <f>AVERAGE(Orders!E2:Orders!E11)</f>
        <v/>
      </c>
    </row>
    <row r="9">
      <c r="A9" t="inlineStr">
        <is>
          <t>Avg Order Value (Net)</t>
        </is>
      </c>
      <c r="B9">
        <f>AVERAGE(Orders!G2:Orders!G11)</f>
        <v/>
      </c>
    </row>
    <row r="10">
      <c r="A10" t="inlineStr">
        <is>
          <t>Total Orders</t>
        </is>
      </c>
      <c r="B10">
        <f>COUNTA(Orders!A2:Orders!A11)</f>
        <v/>
      </c>
    </row>
    <row r="11">
      <c r="A11" t="inlineStr">
        <is>
          <t>Total Units Sold</t>
        </is>
      </c>
      <c r="B11">
        <f>SUM(Orders!C2:Orders!C11)</f>
        <v/>
      </c>
    </row>
    <row r="13">
      <c r="A13" t="inlineStr">
        <is>
          <t>Electronics Revenue</t>
        </is>
      </c>
      <c r="B13">
        <f>SUMPRODUCT((Products!D2:Products!D9="Electronics")*(Products!C2:Products!C9))</f>
        <v/>
      </c>
    </row>
    <row r="14">
      <c r="A14" t="inlineStr">
        <is>
          <t>Furniture Revenue</t>
        </is>
      </c>
      <c r="B14">
        <f>SUMPRODUCT((Products!D2:Products!D9="Furniture")*(Products!C2:Products!C9))</f>
        <v/>
      </c>
    </row>
    <row r="15">
      <c r="A15" t="inlineStr">
        <is>
          <t>Electronics Share</t>
        </is>
      </c>
      <c r="B15">
        <f>B13/(B13+B14)</f>
        <v/>
      </c>
    </row>
    <row r="17">
      <c r="A17" t="inlineStr">
        <is>
          <t>Revenue per Unit</t>
        </is>
      </c>
      <c r="B17">
        <f>B4/B11</f>
        <v/>
      </c>
    </row>
    <row r="18">
      <c r="A18" t="inlineStr">
        <is>
          <t>Performance</t>
        </is>
      </c>
      <c r="B18">
        <f>IF(B17&gt;100,"High",IF(B17&gt;50,"Medium","Low"))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2026-05-10T12:30:20Z</dcterms:created>
  <dcterms:modified xmlns:dcterms="http://purl.org/dc/terms/" xmlns:xsi="http://www.w3.org/2001/XMLSchema-instance" xsi:type="dcterms:W3CDTF">2026-05-10T12:30:20Z</dcterms:modified>
</cp:coreProperties>
</file>