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PnL" sheetId="4" state="visible" r:id="rId4"/>
    <sheet xmlns:r="http://schemas.openxmlformats.org/officeDocument/2006/relationships" name="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Model Assumptions</t>
        </is>
      </c>
    </row>
    <row r="3">
      <c r="A3" t="inlineStr">
        <is>
          <t>Growth Rate</t>
        </is>
      </c>
      <c r="B3" t="n">
        <v>0.08</v>
      </c>
    </row>
    <row r="4">
      <c r="A4" t="inlineStr">
        <is>
          <t>Tax Rate</t>
        </is>
      </c>
      <c r="B4" t="n">
        <v>0.25</v>
      </c>
    </row>
    <row r="5">
      <c r="A5" t="inlineStr">
        <is>
          <t>Inflation Rate</t>
        </is>
      </c>
      <c r="B5" t="n">
        <v>0.03</v>
      </c>
    </row>
    <row r="6">
      <c r="A6" t="inlineStr">
        <is>
          <t>Discount Rate</t>
        </is>
      </c>
      <c r="B6" t="n">
        <v>0.1</v>
      </c>
    </row>
    <row r="7">
      <c r="A7" t="inlineStr">
        <is>
          <t>Base Units</t>
        </is>
      </c>
      <c r="B7" t="n">
        <v>1000</v>
      </c>
    </row>
    <row r="8">
      <c r="A8" t="inlineStr">
        <is>
          <t>Unit Price</t>
        </is>
      </c>
      <c r="B8" t="n">
        <v>50</v>
      </c>
    </row>
    <row r="9">
      <c r="A9" t="inlineStr">
        <is>
          <t>Cost per Unit</t>
        </is>
      </c>
      <c r="B9" t="n">
        <v>30</v>
      </c>
    </row>
    <row r="10">
      <c r="A10" t="inlineStr">
        <is>
          <t>Fixed Costs</t>
        </is>
      </c>
      <c r="B10" t="n">
        <v>5000</v>
      </c>
    </row>
    <row r="11">
      <c r="A11" t="inlineStr">
        <is>
          <t>Depreciation Rate</t>
        </is>
      </c>
      <c r="B11" t="n">
        <v>0.15</v>
      </c>
    </row>
    <row r="12">
      <c r="A12" t="inlineStr">
        <is>
          <t>Initial Investment</t>
        </is>
      </c>
      <c r="B12" t="n">
        <v>100000</v>
      </c>
    </row>
    <row r="13">
      <c r="A13" t="inlineStr">
        <is>
          <t>Loan Rate</t>
        </is>
      </c>
      <c r="B13" t="n">
        <v>0.05</v>
      </c>
    </row>
    <row r="14">
      <c r="A14" t="inlineStr">
        <is>
          <t>Loan Term (years)</t>
        </is>
      </c>
      <c r="B14" t="n">
        <v>5</v>
      </c>
    </row>
    <row r="16">
      <c r="A16" t="inlineStr">
        <is>
          <t>Annual Payment</t>
        </is>
      </c>
      <c r="B16">
        <f>PMT(B13,B14,-B12)</f>
        <v/>
      </c>
    </row>
    <row r="17">
      <c r="A17" t="inlineStr">
        <is>
          <t>Effective Cost</t>
        </is>
      </c>
      <c r="B17">
        <f>B9*(1+B5)</f>
        <v/>
      </c>
    </row>
    <row r="18">
      <c r="A18" t="inlineStr">
        <is>
          <t>Break-even Units</t>
        </is>
      </c>
      <c r="B18">
        <f>ROUND(B10/(B8-B17),0)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Projections</t>
        </is>
      </c>
    </row>
    <row r="2">
      <c r="A2" t="inlineStr">
        <is>
          <t>Item</t>
        </is>
      </c>
      <c r="B2" t="inlineStr">
        <is>
          <t>Year 1</t>
        </is>
      </c>
      <c r="C2" t="inlineStr">
        <is>
          <t>Year 2</t>
        </is>
      </c>
      <c r="D2" t="inlineStr">
        <is>
          <t>Year 3</t>
        </is>
      </c>
      <c r="E2" t="inlineStr">
        <is>
          <t>Year 4</t>
        </is>
      </c>
      <c r="F2" t="inlineStr">
        <is>
          <t>Year 5</t>
        </is>
      </c>
      <c r="G2" t="inlineStr">
        <is>
          <t>Year 6</t>
        </is>
      </c>
      <c r="H2" t="inlineStr">
        <is>
          <t>Year 7</t>
        </is>
      </c>
    </row>
    <row r="3">
      <c r="A3" t="inlineStr">
        <is>
          <t>Units Sold</t>
        </is>
      </c>
      <c r="B3">
        <f>Assumptions!B7</f>
        <v/>
      </c>
      <c r="C3">
        <f>ROUND(B3*(1+Assumptions!$B$3),0)</f>
        <v/>
      </c>
      <c r="D3">
        <f>ROUND(C3*(1+Assumptions!$B$3),0)</f>
        <v/>
      </c>
      <c r="E3">
        <f>ROUND(D3*(1+Assumptions!$B$3),0)</f>
        <v/>
      </c>
      <c r="F3">
        <f>ROUND(E3*(1+Assumptions!$B$3),0)</f>
        <v/>
      </c>
      <c r="G3">
        <f>ROUND(F3*(1+Assumptions!$B$3),0)</f>
        <v/>
      </c>
      <c r="H3">
        <f>ROUND(G3*(1+Assumptions!$B$3),0)</f>
        <v/>
      </c>
    </row>
    <row r="4">
      <c r="A4" t="inlineStr">
        <is>
          <t>Unit Price</t>
        </is>
      </c>
      <c r="B4">
        <f>Assumptions!B8</f>
        <v/>
      </c>
      <c r="C4">
        <f>B4*(1+Assumptions!$B$5)</f>
        <v/>
      </c>
      <c r="D4">
        <f>C4*(1+Assumptions!$B$5)</f>
        <v/>
      </c>
      <c r="E4">
        <f>D4*(1+Assumptions!$B$5)</f>
        <v/>
      </c>
      <c r="F4">
        <f>E4*(1+Assumptions!$B$5)</f>
        <v/>
      </c>
      <c r="G4">
        <f>F4*(1+Assumptions!$B$5)</f>
        <v/>
      </c>
      <c r="H4">
        <f>G4*(1+Assumptions!$B$5)</f>
        <v/>
      </c>
    </row>
    <row r="5">
      <c r="A5" t="inlineStr">
        <is>
          <t>Gross Revenue</t>
        </is>
      </c>
      <c r="B5">
        <f>B3*B4</f>
        <v/>
      </c>
      <c r="C5">
        <f>C3*C4</f>
        <v/>
      </c>
      <c r="D5">
        <f>D3*D4</f>
        <v/>
      </c>
      <c r="E5">
        <f>E3*E4</f>
        <v/>
      </c>
      <c r="F5">
        <f>F3*F4</f>
        <v/>
      </c>
      <c r="G5">
        <f>G3*G4</f>
        <v/>
      </c>
      <c r="H5">
        <f>H3*H4</f>
        <v/>
      </c>
    </row>
    <row r="7">
      <c r="A7" t="inlineStr">
        <is>
          <t>Service Revenue</t>
        </is>
      </c>
      <c r="B7" t="n">
        <v>2000</v>
      </c>
      <c r="C7">
        <f>B7*1.05</f>
        <v/>
      </c>
      <c r="D7">
        <f>C7*1.05</f>
        <v/>
      </c>
      <c r="E7">
        <f>D7*1.05</f>
        <v/>
      </c>
      <c r="F7">
        <f>E7*1.05</f>
        <v/>
      </c>
      <c r="G7">
        <f>F7*1.05</f>
        <v/>
      </c>
      <c r="H7">
        <f>G7*1.05</f>
        <v/>
      </c>
    </row>
    <row r="8">
      <c r="A8" t="inlineStr">
        <is>
          <t>Total Revenue</t>
        </is>
      </c>
      <c r="B8">
        <f>B5+B7</f>
        <v/>
      </c>
      <c r="C8">
        <f>C5+C7</f>
        <v/>
      </c>
      <c r="D8">
        <f>D5+D7</f>
        <v/>
      </c>
      <c r="E8">
        <f>E5+E7</f>
        <v/>
      </c>
      <c r="F8">
        <f>F5+F7</f>
        <v/>
      </c>
      <c r="G8">
        <f>G5+G7</f>
        <v/>
      </c>
      <c r="H8">
        <f>H5+H7</f>
        <v/>
      </c>
    </row>
    <row r="10">
      <c r="A10" t="inlineStr">
        <is>
          <t>Cumulative Revenue</t>
        </is>
      </c>
      <c r="B10">
        <f>B8</f>
        <v/>
      </c>
      <c r="C10">
        <f>B10+C8</f>
        <v/>
      </c>
      <c r="D10">
        <f>C10+D8</f>
        <v/>
      </c>
      <c r="E10">
        <f>D10+E8</f>
        <v/>
      </c>
      <c r="F10">
        <f>E10+F8</f>
        <v/>
      </c>
      <c r="G10">
        <f>F10+G8</f>
        <v/>
      </c>
      <c r="H10">
        <f>G10+H8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Structure</t>
        </is>
      </c>
    </row>
    <row r="2">
      <c r="A2" t="inlineStr">
        <is>
          <t>Item</t>
        </is>
      </c>
      <c r="B2" t="inlineStr">
        <is>
          <t>Year 1</t>
        </is>
      </c>
      <c r="C2" t="inlineStr">
        <is>
          <t>Year 2</t>
        </is>
      </c>
      <c r="D2" t="inlineStr">
        <is>
          <t>Year 3</t>
        </is>
      </c>
      <c r="E2" t="inlineStr">
        <is>
          <t>Year 4</t>
        </is>
      </c>
      <c r="F2" t="inlineStr">
        <is>
          <t>Year 5</t>
        </is>
      </c>
      <c r="G2" t="inlineStr">
        <is>
          <t>Year 6</t>
        </is>
      </c>
      <c r="H2" t="inlineStr">
        <is>
          <t>Year 7</t>
        </is>
      </c>
    </row>
    <row r="3">
      <c r="A3" t="inlineStr">
        <is>
          <t>Variable Costs</t>
        </is>
      </c>
      <c r="B3">
        <f>Revenue!B3*Assumptions!$B$17</f>
        <v/>
      </c>
      <c r="C3">
        <f>Revenue!C3*Assumptions!$B$17</f>
        <v/>
      </c>
      <c r="D3">
        <f>Revenue!D3*Assumptions!$B$17</f>
        <v/>
      </c>
      <c r="E3">
        <f>Revenue!E3*Assumptions!$B$17</f>
        <v/>
      </c>
      <c r="F3">
        <f>Revenue!F3*Assumptions!$B$17</f>
        <v/>
      </c>
      <c r="G3">
        <f>Revenue!G3*Assumptions!$B$17</f>
        <v/>
      </c>
      <c r="H3">
        <f>Revenue!H3*Assumptions!$B$17</f>
        <v/>
      </c>
    </row>
    <row r="4">
      <c r="A4" t="inlineStr">
        <is>
          <t>Fixed Costs</t>
        </is>
      </c>
      <c r="B4">
        <f>Assumptions!B10</f>
        <v/>
      </c>
      <c r="C4">
        <f>B4*(1+Assumptions!$B$5)</f>
        <v/>
      </c>
      <c r="D4">
        <f>C4*(1+Assumptions!$B$5)</f>
        <v/>
      </c>
      <c r="E4">
        <f>D4*(1+Assumptions!$B$5)</f>
        <v/>
      </c>
      <c r="F4">
        <f>E4*(1+Assumptions!$B$5)</f>
        <v/>
      </c>
      <c r="G4">
        <f>F4*(1+Assumptions!$B$5)</f>
        <v/>
      </c>
      <c r="H4">
        <f>G4*(1+Assumptions!$B$5)</f>
        <v/>
      </c>
    </row>
    <row r="5">
      <c r="A5" t="inlineStr">
        <is>
          <t>Depreciation</t>
        </is>
      </c>
      <c r="B5">
        <f>Assumptions!B12*Assumptions!B11</f>
        <v/>
      </c>
      <c r="C5">
        <f>MAX(B5-B5*Assumptions!$B$11, 0)</f>
        <v/>
      </c>
      <c r="D5">
        <f>MAX(C5-C5*Assumptions!$B$11, 0)</f>
        <v/>
      </c>
      <c r="E5">
        <f>MAX(D5-D5*Assumptions!$B$11, 0)</f>
        <v/>
      </c>
      <c r="F5">
        <f>MAX(E5-E5*Assumptions!$B$11, 0)</f>
        <v/>
      </c>
      <c r="G5">
        <f>MAX(F5-F5*Assumptions!$B$11, 0)</f>
        <v/>
      </c>
      <c r="H5">
        <f>MAX(G5-G5*Assumptions!$B$11, 0)</f>
        <v/>
      </c>
    </row>
    <row r="6">
      <c r="A6" t="inlineStr">
        <is>
          <t>Loan Payment</t>
        </is>
      </c>
      <c r="B6">
        <f>IF(1&lt;=Assumptions!$B$14,Assumptions!$B$16,0)</f>
        <v/>
      </c>
      <c r="C6">
        <f>IF(2&lt;=Assumptions!$B$14,Assumptions!$B$16,0)</f>
        <v/>
      </c>
      <c r="D6">
        <f>IF(3&lt;=Assumptions!$B$14,Assumptions!$B$16,0)</f>
        <v/>
      </c>
      <c r="E6">
        <f>IF(4&lt;=Assumptions!$B$14,Assumptions!$B$16,0)</f>
        <v/>
      </c>
      <c r="F6">
        <f>IF(5&lt;=Assumptions!$B$14,Assumptions!$B$16,0)</f>
        <v/>
      </c>
      <c r="G6">
        <f>IF(6&lt;=Assumptions!$B$14,Assumptions!$B$16,0)</f>
        <v/>
      </c>
      <c r="H6">
        <f>IF(7&lt;=Assumptions!$B$14,Assumptions!$B$16,0)</f>
        <v/>
      </c>
    </row>
    <row r="8">
      <c r="A8" t="inlineStr">
        <is>
          <t>Total Costs</t>
        </is>
      </c>
      <c r="B8">
        <f>SUM(B3:B6)</f>
        <v/>
      </c>
      <c r="C8">
        <f>SUM(C3:C6)</f>
        <v/>
      </c>
      <c r="D8">
        <f>SUM(D3:D6)</f>
        <v/>
      </c>
      <c r="E8">
        <f>SUM(E3:E6)</f>
        <v/>
      </c>
      <c r="F8">
        <f>SUM(F3:F6)</f>
        <v/>
      </c>
      <c r="G8">
        <f>SUM(G3:G6)</f>
        <v/>
      </c>
      <c r="H8">
        <f>SUM(H3:H6)</f>
        <v/>
      </c>
    </row>
    <row r="10">
      <c r="A10" t="inlineStr">
        <is>
          <t>Variable % of Revenue</t>
        </is>
      </c>
      <c r="B10">
        <f>IF(Revenue!B8&gt;0,B3/Revenue!B8,0)</f>
        <v/>
      </c>
      <c r="C10">
        <f>IF(Revenue!C8&gt;0,C3/Revenue!C8,0)</f>
        <v/>
      </c>
      <c r="D10">
        <f>IF(Revenue!D8&gt;0,D3/Revenue!D8,0)</f>
        <v/>
      </c>
      <c r="E10">
        <f>IF(Revenue!E8&gt;0,E3/Revenue!E8,0)</f>
        <v/>
      </c>
      <c r="F10">
        <f>IF(Revenue!F8&gt;0,F3/Revenue!F8,0)</f>
        <v/>
      </c>
      <c r="G10">
        <f>IF(Revenue!G8&gt;0,G3/Revenue!G8,0)</f>
        <v/>
      </c>
      <c r="H10">
        <f>IF(Revenue!H8&gt;0,H3/Revenue!H8,0)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&amp; Loss Statement</t>
        </is>
      </c>
    </row>
    <row r="2">
      <c r="A2" t="inlineStr">
        <is>
          <t>Item</t>
        </is>
      </c>
      <c r="B2" t="inlineStr">
        <is>
          <t>Year 1</t>
        </is>
      </c>
      <c r="C2" t="inlineStr">
        <is>
          <t>Year 2</t>
        </is>
      </c>
      <c r="D2" t="inlineStr">
        <is>
          <t>Year 3</t>
        </is>
      </c>
      <c r="E2" t="inlineStr">
        <is>
          <t>Year 4</t>
        </is>
      </c>
      <c r="F2" t="inlineStr">
        <is>
          <t>Year 5</t>
        </is>
      </c>
      <c r="G2" t="inlineStr">
        <is>
          <t>Year 6</t>
        </is>
      </c>
      <c r="H2" t="inlineStr">
        <is>
          <t>Year 7</t>
        </is>
      </c>
    </row>
    <row r="3">
      <c r="A3" t="inlineStr">
        <is>
          <t>Total Revenue</t>
        </is>
      </c>
      <c r="B3">
        <f>Revenue!B8</f>
        <v/>
      </c>
      <c r="C3">
        <f>Revenue!C8</f>
        <v/>
      </c>
      <c r="D3">
        <f>Revenue!D8</f>
        <v/>
      </c>
      <c r="E3">
        <f>Revenue!E8</f>
        <v/>
      </c>
      <c r="F3">
        <f>Revenue!F8</f>
        <v/>
      </c>
      <c r="G3">
        <f>Revenue!G8</f>
        <v/>
      </c>
      <c r="H3">
        <f>Revenue!H8</f>
        <v/>
      </c>
    </row>
    <row r="4">
      <c r="A4" t="inlineStr">
        <is>
          <t>Total Costs</t>
        </is>
      </c>
      <c r="B4">
        <f>Costs!B3+Costs!B4</f>
        <v/>
      </c>
      <c r="C4">
        <f>Costs!C3+Costs!C4</f>
        <v/>
      </c>
      <c r="D4">
        <f>Costs!D3+Costs!D4</f>
        <v/>
      </c>
      <c r="E4">
        <f>Costs!E3+Costs!E4</f>
        <v/>
      </c>
      <c r="F4">
        <f>Costs!F3+Costs!F4</f>
        <v/>
      </c>
      <c r="G4">
        <f>Costs!G3+Costs!G4</f>
        <v/>
      </c>
      <c r="H4">
        <f>Costs!H3+Costs!H4</f>
        <v/>
      </c>
    </row>
    <row r="5">
      <c r="A5" t="inlineStr">
        <is>
          <t>EBITDA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  <c r="H5">
        <f>H3-H4</f>
        <v/>
      </c>
    </row>
    <row r="6">
      <c r="A6" t="inlineStr">
        <is>
          <t>Depreciation</t>
        </is>
      </c>
      <c r="B6">
        <f>Costs!B5</f>
        <v/>
      </c>
      <c r="C6">
        <f>Costs!C5</f>
        <v/>
      </c>
      <c r="D6">
        <f>Costs!D5</f>
        <v/>
      </c>
      <c r="E6">
        <f>Costs!E5</f>
        <v/>
      </c>
      <c r="F6">
        <f>Costs!F5</f>
        <v/>
      </c>
      <c r="G6">
        <f>Costs!G5</f>
        <v/>
      </c>
      <c r="H6">
        <f>Costs!H5</f>
        <v/>
      </c>
    </row>
    <row r="7">
      <c r="A7" t="inlineStr">
        <is>
          <t>EBIT</t>
        </is>
      </c>
      <c r="B7">
        <f>B5-B6</f>
        <v/>
      </c>
      <c r="C7">
        <f>C5-C6</f>
        <v/>
      </c>
      <c r="D7">
        <f>D5-D6</f>
        <v/>
      </c>
      <c r="E7">
        <f>E5-E6</f>
        <v/>
      </c>
      <c r="F7">
        <f>F5-F6</f>
        <v/>
      </c>
      <c r="G7">
        <f>G5-G6</f>
        <v/>
      </c>
      <c r="H7">
        <f>H5-H6</f>
        <v/>
      </c>
    </row>
    <row r="8">
      <c r="A8" t="inlineStr">
        <is>
          <t>Interest (Loan)</t>
        </is>
      </c>
      <c r="B8">
        <f>Costs!B6*Assumptions!$B$13</f>
        <v/>
      </c>
      <c r="C8">
        <f>Costs!C6*Assumptions!$B$13</f>
        <v/>
      </c>
      <c r="D8">
        <f>Costs!D6*Assumptions!$B$13</f>
        <v/>
      </c>
      <c r="E8">
        <f>Costs!E6*Assumptions!$B$13</f>
        <v/>
      </c>
      <c r="F8">
        <f>Costs!F6*Assumptions!$B$13</f>
        <v/>
      </c>
      <c r="G8">
        <f>Costs!G6*Assumptions!$B$13</f>
        <v/>
      </c>
      <c r="H8">
        <f>Costs!H6*Assumptions!$B$13</f>
        <v/>
      </c>
    </row>
    <row r="9">
      <c r="A9" t="inlineStr">
        <is>
          <t>EBT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  <c r="H9">
        <f>H7-H8</f>
        <v/>
      </c>
    </row>
    <row r="10">
      <c r="A10" t="inlineStr">
        <is>
          <t>Tax</t>
        </is>
      </c>
      <c r="B10">
        <f>IF(B9&gt;0,B9*Assumptions!$B$4,0)</f>
        <v/>
      </c>
      <c r="C10">
        <f>IF(C9&gt;0,C9*Assumptions!$B$4,0)</f>
        <v/>
      </c>
      <c r="D10">
        <f>IF(D9&gt;0,D9*Assumptions!$B$4,0)</f>
        <v/>
      </c>
      <c r="E10">
        <f>IF(E9&gt;0,E9*Assumptions!$B$4,0)</f>
        <v/>
      </c>
      <c r="F10">
        <f>IF(F9&gt;0,F9*Assumptions!$B$4,0)</f>
        <v/>
      </c>
      <c r="G10">
        <f>IF(G9&gt;0,G9*Assumptions!$B$4,0)</f>
        <v/>
      </c>
      <c r="H10">
        <f>IF(H9&gt;0,H9*Assumptions!$B$4,0)</f>
        <v/>
      </c>
    </row>
    <row r="11">
      <c r="A11" t="inlineStr">
        <is>
          <t>Net Income</t>
        </is>
      </c>
      <c r="B11">
        <f>B9-B10</f>
        <v/>
      </c>
      <c r="C11">
        <f>C9-C10</f>
        <v/>
      </c>
      <c r="D11">
        <f>D9-D10</f>
        <v/>
      </c>
      <c r="E11">
        <f>E9-E10</f>
        <v/>
      </c>
      <c r="F11">
        <f>F9-F10</f>
        <v/>
      </c>
      <c r="G11">
        <f>G9-G10</f>
        <v/>
      </c>
      <c r="H11">
        <f>H9-H10</f>
        <v/>
      </c>
    </row>
    <row r="13">
      <c r="A13" t="inlineStr">
        <is>
          <t>Cumulative Net Income</t>
        </is>
      </c>
      <c r="B13">
        <f>B11</f>
        <v/>
      </c>
      <c r="C13">
        <f>B13+C11</f>
        <v/>
      </c>
      <c r="D13">
        <f>C13+D11</f>
        <v/>
      </c>
      <c r="E13">
        <f>D13+E11</f>
        <v/>
      </c>
      <c r="F13">
        <f>E13+F11</f>
        <v/>
      </c>
      <c r="G13">
        <f>F13+G11</f>
        <v/>
      </c>
      <c r="H13">
        <f>G13+H11</f>
        <v/>
      </c>
    </row>
    <row r="14">
      <c r="A14" t="inlineStr">
        <is>
          <t>Net Margin</t>
        </is>
      </c>
      <c r="B14">
        <f>IF(B3&gt;0,B11/B3,0)</f>
        <v/>
      </c>
      <c r="C14">
        <f>IF(C3&gt;0,C11/C3,0)</f>
        <v/>
      </c>
      <c r="D14">
        <f>IF(D3&gt;0,D11/D3,0)</f>
        <v/>
      </c>
      <c r="E14">
        <f>IF(E3&gt;0,E11/E3,0)</f>
        <v/>
      </c>
      <c r="F14">
        <f>IF(F3&gt;0,F11/F3,0)</f>
        <v/>
      </c>
      <c r="G14">
        <f>IF(G3&gt;0,G11/G3,0)</f>
        <v/>
      </c>
      <c r="H14">
        <f>IF(H3&gt;0,H11/H3,0)</f>
        <v/>
      </c>
    </row>
    <row r="15">
      <c r="A15" t="inlineStr">
        <is>
          <t>ROI</t>
        </is>
      </c>
      <c r="B15">
        <f>B13/Assumptions!$B$12</f>
        <v/>
      </c>
      <c r="C15">
        <f>C13/Assumptions!$B$12</f>
        <v/>
      </c>
      <c r="D15">
        <f>D13/Assumptions!$B$12</f>
        <v/>
      </c>
      <c r="E15">
        <f>E13/Assumptions!$B$12</f>
        <v/>
      </c>
      <c r="F15">
        <f>F13/Assumptions!$B$12</f>
        <v/>
      </c>
      <c r="G15">
        <f>G13/Assumptions!$B$12</f>
        <v/>
      </c>
      <c r="H15">
        <f>H13/Assumptions!$B$12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Analysis</t>
        </is>
      </c>
    </row>
    <row r="3">
      <c r="A3" t="inlineStr">
        <is>
          <t>7-Year Total Revenue</t>
        </is>
      </c>
      <c r="B3">
        <f>SUM(PnL!B3:H3)</f>
        <v/>
      </c>
    </row>
    <row r="4">
      <c r="A4" t="inlineStr">
        <is>
          <t>7-Year Total Net Income</t>
        </is>
      </c>
      <c r="B4">
        <f>SUM(PnL!B11:H11)</f>
        <v/>
      </c>
    </row>
    <row r="5">
      <c r="A5" t="inlineStr">
        <is>
          <t>Overall Margin</t>
        </is>
      </c>
      <c r="B5">
        <f>IF(B3&gt;0,B4/B3,0)</f>
        <v/>
      </c>
    </row>
    <row r="6">
      <c r="A6" t="inlineStr">
        <is>
          <t>Final ROI</t>
        </is>
      </c>
      <c r="B6">
        <f>PnL!H15</f>
        <v/>
      </c>
    </row>
    <row r="8">
      <c r="A8" t="inlineStr">
        <is>
          <t>Avg Annual Revenue</t>
        </is>
      </c>
      <c r="B8">
        <f>AVERAGE(PnL!B3:H3)</f>
        <v/>
      </c>
    </row>
    <row r="9">
      <c r="A9" t="inlineStr">
        <is>
          <t>Revenue CAGR</t>
        </is>
      </c>
      <c r="B9">
        <f>IF(PnL!B3&gt;0,(PnL!H3/PnL!B3)^(1/6)-1,0)</f>
        <v/>
      </c>
    </row>
    <row r="11">
      <c r="A11" t="inlineStr">
        <is>
          <t>Payback Status</t>
        </is>
      </c>
      <c r="B11">
        <f>IF(PnL!H13&gt;=Assumptions!B12,"Recovered","Not Yet")</f>
        <v/>
      </c>
    </row>
    <row r="13">
      <c r="A13" t="inlineStr">
        <is>
          <t>NPV of Net Income</t>
        </is>
      </c>
      <c r="B13">
        <f>NPV(Assumptions!B6,PnL!B11:H11)</f>
        <v/>
      </c>
    </row>
    <row r="14">
      <c r="A14" t="inlineStr">
        <is>
          <t>Profitability Index</t>
        </is>
      </c>
      <c r="B14">
        <f>B13/Assumptions!B12</f>
        <v/>
      </c>
    </row>
    <row r="16">
      <c r="A16" t="inlineStr">
        <is>
          <t>Adjusted Margin</t>
        </is>
      </c>
      <c r="B16">
        <f>IF(B5&gt;0.1,B5*0.95,B5*1.05)</f>
        <v/>
      </c>
    </row>
    <row r="18">
      <c r="A18" t="inlineStr">
        <is>
          <t>Investment Grade</t>
        </is>
      </c>
      <c r="B18">
        <f>IF(B14&gt;1.5,"A",IF(B14&gt;1,"B",IF(B14&gt;0.5,"C","D")))</f>
        <v/>
      </c>
    </row>
    <row r="20">
      <c r="A20" t="inlineStr">
        <is>
          <t>Year</t>
        </is>
      </c>
      <c r="B20" t="inlineStr">
        <is>
          <t>Revenue Growth %</t>
        </is>
      </c>
    </row>
    <row r="21">
      <c r="A21" t="inlineStr">
        <is>
          <t>Year 2</t>
        </is>
      </c>
      <c r="B21">
        <f>IF(PnL!B3&gt;0,(PnL!C3-PnL!B3)/PnL!B3,0)</f>
        <v/>
      </c>
    </row>
    <row r="22">
      <c r="A22" t="inlineStr">
        <is>
          <t>Year 3</t>
        </is>
      </c>
      <c r="B22">
        <f>IF(PnL!C3&gt;0,(PnL!D3-PnL!C3)/PnL!C3,0)</f>
        <v/>
      </c>
    </row>
    <row r="23">
      <c r="A23" t="inlineStr">
        <is>
          <t>Year 4</t>
        </is>
      </c>
      <c r="B23">
        <f>IF(PnL!D3&gt;0,(PnL!E3-PnL!D3)/PnL!D3,0)</f>
        <v/>
      </c>
    </row>
    <row r="24">
      <c r="A24" t="inlineStr">
        <is>
          <t>Year 5</t>
        </is>
      </c>
      <c r="B24">
        <f>IF(PnL!E3&gt;0,(PnL!F3-PnL!E3)/PnL!E3,0)</f>
        <v/>
      </c>
    </row>
    <row r="25">
      <c r="A25" t="inlineStr">
        <is>
          <t>Year 6</t>
        </is>
      </c>
      <c r="B25">
        <f>IF(PnL!F3&gt;0,(PnL!G3-PnL!F3)/PnL!F3,0)</f>
        <v/>
      </c>
    </row>
    <row r="26">
      <c r="A26" t="inlineStr">
        <is>
          <t>Year 7</t>
        </is>
      </c>
      <c r="B26">
        <f>IF(PnL!G3&gt;0,(PnL!H3-PnL!G3)/PnL!G3,0)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2026-05-10T12:30:20Z</dcterms:created>
  <dcterms:modified xmlns:dcterms="http://purl.org/dc/terms/" xmlns:xsi="http://www.w3.org/2001/XMLSchema-instance" xsi:type="dcterms:W3CDTF">2026-05-10T12:30:20Z</dcterms:modified>
</cp:coreProperties>
</file>