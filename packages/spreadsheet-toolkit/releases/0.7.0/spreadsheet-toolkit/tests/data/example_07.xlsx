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Role</t>
        </is>
      </c>
      <c r="D1" t="inlineStr">
        <is>
          <t>RateID</t>
        </is>
      </c>
      <c r="E1" t="inlineStr">
        <is>
          <t>Availability</t>
        </is>
      </c>
    </row>
    <row r="2">
      <c r="A2" t="n">
        <v>1</v>
      </c>
      <c r="B2" t="inlineStr">
        <is>
          <t>Alice</t>
        </is>
      </c>
      <c r="C2" t="inlineStr">
        <is>
          <t>Lead</t>
        </is>
      </c>
      <c r="D2" t="inlineStr">
        <is>
          <t>R1</t>
        </is>
      </c>
      <c r="E2" t="n">
        <v>1</v>
      </c>
    </row>
    <row r="3">
      <c r="A3" t="n">
        <v>2</v>
      </c>
      <c r="B3" t="inlineStr">
        <is>
          <t>Bob</t>
        </is>
      </c>
      <c r="C3" t="inlineStr">
        <is>
          <t>Developer</t>
        </is>
      </c>
      <c r="D3" t="inlineStr">
        <is>
          <t>R2</t>
        </is>
      </c>
      <c r="E3" t="n">
        <v>0.8</v>
      </c>
    </row>
    <row r="4">
      <c r="A4" t="n">
        <v>3</v>
      </c>
      <c r="B4" t="inlineStr">
        <is>
          <t>Carol</t>
        </is>
      </c>
      <c r="C4" t="inlineStr">
        <is>
          <t>Developer</t>
        </is>
      </c>
      <c r="D4" t="inlineStr">
        <is>
          <t>R2</t>
        </is>
      </c>
      <c r="E4" t="n">
        <v>1</v>
      </c>
    </row>
    <row r="5">
      <c r="A5" t="n">
        <v>4</v>
      </c>
      <c r="B5" t="inlineStr">
        <is>
          <t>Dave</t>
        </is>
      </c>
      <c r="C5" t="inlineStr">
        <is>
          <t>Designer</t>
        </is>
      </c>
      <c r="D5" t="inlineStr">
        <is>
          <t>R3</t>
        </is>
      </c>
      <c r="E5" t="n">
        <v>0.5</v>
      </c>
    </row>
    <row r="6">
      <c r="A6" t="n">
        <v>5</v>
      </c>
      <c r="B6" t="inlineStr">
        <is>
          <t>Eve</t>
        </is>
      </c>
      <c r="C6" t="inlineStr">
        <is>
          <t>QA</t>
        </is>
      </c>
      <c r="D6" t="inlineStr">
        <is>
          <t>R4</t>
        </is>
      </c>
      <c r="E6" t="n">
        <v>1</v>
      </c>
    </row>
    <row r="7">
      <c r="A7" t="n">
        <v>6</v>
      </c>
      <c r="B7" t="inlineStr">
        <is>
          <t>Frank</t>
        </is>
      </c>
      <c r="C7" t="inlineStr">
        <is>
          <t>Developer</t>
        </is>
      </c>
      <c r="D7" t="inlineStr">
        <is>
          <t>R2</t>
        </is>
      </c>
      <c r="E7" t="n">
        <v>0.6</v>
      </c>
    </row>
    <row r="8">
      <c r="A8" t="n">
        <v>7</v>
      </c>
      <c r="B8" t="inlineStr">
        <is>
          <t>Grace</t>
        </is>
      </c>
      <c r="C8" t="inlineStr">
        <is>
          <t>DevOps</t>
        </is>
      </c>
      <c r="D8" t="inlineStr">
        <is>
          <t>R5</t>
        </is>
      </c>
      <c r="E8" t="n">
        <v>0.4</v>
      </c>
    </row>
    <row r="9">
      <c r="A9" t="n">
        <v>8</v>
      </c>
      <c r="B9" t="inlineStr">
        <is>
          <t>Hank</t>
        </is>
      </c>
      <c r="C9" t="inlineStr">
        <is>
          <t>Manager</t>
        </is>
      </c>
      <c r="D9" t="inlineStr">
        <is>
          <t>R6</t>
        </is>
      </c>
      <c r="E9" t="n">
        <v>0.3</v>
      </c>
    </row>
    <row r="11">
      <c r="A11" t="inlineStr">
        <is>
          <t>Team Size</t>
        </is>
      </c>
      <c r="B11">
        <f>COUNTA(B2:B9)</f>
        <v/>
      </c>
    </row>
    <row r="12">
      <c r="A12" t="inlineStr">
        <is>
          <t>Total FTE</t>
        </is>
      </c>
      <c r="B12">
        <f>SUM(E2:E9)</f>
        <v/>
      </c>
    </row>
    <row r="13">
      <c r="A13" t="inlineStr">
        <is>
          <t>Avg Availability</t>
        </is>
      </c>
      <c r="B13">
        <f>AVERAGE(E2:E9)</f>
        <v/>
      </c>
    </row>
    <row r="14">
      <c r="A14" t="inlineStr">
        <is>
          <t>Developers</t>
        </is>
      </c>
      <c r="B14">
        <f>COUNTIF(C2:C9,"Developer")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RateID</t>
        </is>
      </c>
      <c r="B1" t="inlineStr">
        <is>
          <t>Role</t>
        </is>
      </c>
      <c r="C1" t="inlineStr">
        <is>
          <t>Daily Rate</t>
        </is>
      </c>
      <c r="D1" t="inlineStr">
        <is>
          <t>Overhead %</t>
        </is>
      </c>
      <c r="E1" t="inlineStr">
        <is>
          <t>Loaded Rate</t>
        </is>
      </c>
    </row>
    <row r="2">
      <c r="A2" t="inlineStr">
        <is>
          <t>R1</t>
        </is>
      </c>
      <c r="B2" t="inlineStr">
        <is>
          <t>Lead</t>
        </is>
      </c>
      <c r="C2" t="n">
        <v>650</v>
      </c>
      <c r="D2" t="n">
        <v>0.35</v>
      </c>
      <c r="E2">
        <f>C2*(1+D2)</f>
        <v/>
      </c>
    </row>
    <row r="3">
      <c r="A3" t="inlineStr">
        <is>
          <t>R2</t>
        </is>
      </c>
      <c r="B3" t="inlineStr">
        <is>
          <t>Developer</t>
        </is>
      </c>
      <c r="C3" t="n">
        <v>500</v>
      </c>
      <c r="D3" t="n">
        <v>0.3</v>
      </c>
      <c r="E3">
        <f>C3*(1+D3)</f>
        <v/>
      </c>
    </row>
    <row r="4">
      <c r="A4" t="inlineStr">
        <is>
          <t>R3</t>
        </is>
      </c>
      <c r="B4" t="inlineStr">
        <is>
          <t>Designer</t>
        </is>
      </c>
      <c r="C4" t="n">
        <v>450</v>
      </c>
      <c r="D4" t="n">
        <v>0.25</v>
      </c>
      <c r="E4">
        <f>C4*(1+D4)</f>
        <v/>
      </c>
    </row>
    <row r="5">
      <c r="A5" t="inlineStr">
        <is>
          <t>R4</t>
        </is>
      </c>
      <c r="B5" t="inlineStr">
        <is>
          <t>QA</t>
        </is>
      </c>
      <c r="C5" t="n">
        <v>400</v>
      </c>
      <c r="D5" t="n">
        <v>0.28</v>
      </c>
      <c r="E5">
        <f>C5*(1+D5)</f>
        <v/>
      </c>
    </row>
    <row r="6">
      <c r="A6" t="inlineStr">
        <is>
          <t>R5</t>
        </is>
      </c>
      <c r="B6" t="inlineStr">
        <is>
          <t>DevOps</t>
        </is>
      </c>
      <c r="C6" t="n">
        <v>550</v>
      </c>
      <c r="D6" t="n">
        <v>0.32</v>
      </c>
      <c r="E6">
        <f>C6*(1+D6)</f>
        <v/>
      </c>
    </row>
    <row r="7">
      <c r="A7" t="inlineStr">
        <is>
          <t>R6</t>
        </is>
      </c>
      <c r="B7" t="inlineStr">
        <is>
          <t>Manager</t>
        </is>
      </c>
      <c r="C7" t="n">
        <v>700</v>
      </c>
      <c r="D7" t="n">
        <v>0.4</v>
      </c>
      <c r="E7">
        <f>C7*(1+D7)</f>
        <v/>
      </c>
    </row>
    <row r="9">
      <c r="A9" t="inlineStr">
        <is>
          <t>Avg Daily Rate</t>
        </is>
      </c>
      <c r="B9">
        <f>AVERAGE(C2:C7)</f>
        <v/>
      </c>
    </row>
    <row r="10">
      <c r="A10" t="inlineStr">
        <is>
          <t>Avg Loaded Rate</t>
        </is>
      </c>
      <c r="B10">
        <f>AVERAGE(E2:E7)</f>
        <v/>
      </c>
    </row>
    <row r="11">
      <c r="A11" t="inlineStr">
        <is>
          <t>Max Loaded Rate</t>
        </is>
      </c>
      <c r="B11">
        <f>MAX(E2:E7)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Task Name</t>
        </is>
      </c>
      <c r="C1" t="inlineStr">
        <is>
          <t>Assigned (TeamID)</t>
        </is>
      </c>
      <c r="D1" t="inlineStr">
        <is>
          <t>Days</t>
        </is>
      </c>
      <c r="E1" t="inlineStr">
        <is>
          <t>Daily Rate (looked up)</t>
        </is>
      </c>
      <c r="F1" t="inlineStr">
        <is>
          <t>Effective Days</t>
        </is>
      </c>
      <c r="G1" t="inlineStr">
        <is>
          <t>Task Cost</t>
        </is>
      </c>
      <c r="H1" t="inlineStr">
        <is>
          <t>Phase</t>
        </is>
      </c>
    </row>
    <row r="2">
      <c r="A2" t="inlineStr">
        <is>
          <t>T01</t>
        </is>
      </c>
      <c r="B2" t="inlineStr">
        <is>
          <t>Architecture Design</t>
        </is>
      </c>
      <c r="C2" t="n">
        <v>1</v>
      </c>
      <c r="D2" t="n">
        <v>10</v>
      </c>
      <c r="E2">
        <f>INDEX(Rates!E:E,MATCH(INDEX(Team!D:D,MATCH(C2,Team!A:A,0)),Rates!A:A,0))</f>
        <v/>
      </c>
      <c r="F2">
        <f>D2/INDEX(Team!E:E,MATCH(C2,Team!A:A,0))</f>
        <v/>
      </c>
      <c r="G2">
        <f>F2*E2</f>
        <v/>
      </c>
      <c r="H2" t="inlineStr">
        <is>
          <t>Planning</t>
        </is>
      </c>
    </row>
    <row r="3">
      <c r="A3" t="inlineStr">
        <is>
          <t>T02</t>
        </is>
      </c>
      <c r="B3" t="inlineStr">
        <is>
          <t>UI Mockups</t>
        </is>
      </c>
      <c r="C3" t="n">
        <v>4</v>
      </c>
      <c r="D3" t="n">
        <v>8</v>
      </c>
      <c r="E3">
        <f>INDEX(Rates!E:E,MATCH(INDEX(Team!D:D,MATCH(C3,Team!A:A,0)),Rates!A:A,0))</f>
        <v/>
      </c>
      <c r="F3">
        <f>D3/INDEX(Team!E:E,MATCH(C3,Team!A:A,0))</f>
        <v/>
      </c>
      <c r="G3">
        <f>F3*E3</f>
        <v/>
      </c>
      <c r="H3" t="inlineStr">
        <is>
          <t>Planning</t>
        </is>
      </c>
    </row>
    <row r="4">
      <c r="A4" t="inlineStr">
        <is>
          <t>T03</t>
        </is>
      </c>
      <c r="B4" t="inlineStr">
        <is>
          <t>Backend Core</t>
        </is>
      </c>
      <c r="C4" t="n">
        <v>2</v>
      </c>
      <c r="D4" t="n">
        <v>25</v>
      </c>
      <c r="E4">
        <f>INDEX(Rates!E:E,MATCH(INDEX(Team!D:D,MATCH(C4,Team!A:A,0)),Rates!A:A,0))</f>
        <v/>
      </c>
      <c r="F4">
        <f>D4/INDEX(Team!E:E,MATCH(C4,Team!A:A,0))</f>
        <v/>
      </c>
      <c r="G4">
        <f>F4*E4</f>
        <v/>
      </c>
      <c r="H4" t="inlineStr">
        <is>
          <t>Development</t>
        </is>
      </c>
    </row>
    <row r="5">
      <c r="A5" t="inlineStr">
        <is>
          <t>T04</t>
        </is>
      </c>
      <c r="B5" t="inlineStr">
        <is>
          <t>Frontend Core</t>
        </is>
      </c>
      <c r="C5" t="n">
        <v>3</v>
      </c>
      <c r="D5" t="n">
        <v>20</v>
      </c>
      <c r="E5">
        <f>INDEX(Rates!E:E,MATCH(INDEX(Team!D:D,MATCH(C5,Team!A:A,0)),Rates!A:A,0))</f>
        <v/>
      </c>
      <c r="F5">
        <f>D5/INDEX(Team!E:E,MATCH(C5,Team!A:A,0))</f>
        <v/>
      </c>
      <c r="G5">
        <f>F5*E5</f>
        <v/>
      </c>
      <c r="H5" t="inlineStr">
        <is>
          <t>Development</t>
        </is>
      </c>
    </row>
    <row r="6">
      <c r="A6" t="inlineStr">
        <is>
          <t>T05</t>
        </is>
      </c>
      <c r="B6" t="inlineStr">
        <is>
          <t>API Integration</t>
        </is>
      </c>
      <c r="C6" t="n">
        <v>6</v>
      </c>
      <c r="D6" t="n">
        <v>15</v>
      </c>
      <c r="E6">
        <f>INDEX(Rates!E:E,MATCH(INDEX(Team!D:D,MATCH(C6,Team!A:A,0)),Rates!A:A,0))</f>
        <v/>
      </c>
      <c r="F6">
        <f>D6/INDEX(Team!E:E,MATCH(C6,Team!A:A,0))</f>
        <v/>
      </c>
      <c r="G6">
        <f>F6*E6</f>
        <v/>
      </c>
      <c r="H6" t="inlineStr">
        <is>
          <t>Development</t>
        </is>
      </c>
    </row>
    <row r="7">
      <c r="A7" t="inlineStr">
        <is>
          <t>T06</t>
        </is>
      </c>
      <c r="B7" t="inlineStr">
        <is>
          <t>DB Schema</t>
        </is>
      </c>
      <c r="C7" t="n">
        <v>2</v>
      </c>
      <c r="D7" t="n">
        <v>5</v>
      </c>
      <c r="E7">
        <f>INDEX(Rates!E:E,MATCH(INDEX(Team!D:D,MATCH(C7,Team!A:A,0)),Rates!A:A,0))</f>
        <v/>
      </c>
      <c r="F7">
        <f>D7/INDEX(Team!E:E,MATCH(C7,Team!A:A,0))</f>
        <v/>
      </c>
      <c r="G7">
        <f>F7*E7</f>
        <v/>
      </c>
      <c r="H7" t="inlineStr">
        <is>
          <t>Development</t>
        </is>
      </c>
    </row>
    <row r="8">
      <c r="A8" t="inlineStr">
        <is>
          <t>T07</t>
        </is>
      </c>
      <c r="B8" t="inlineStr">
        <is>
          <t>CI/CD Pipeline</t>
        </is>
      </c>
      <c r="C8" t="n">
        <v>7</v>
      </c>
      <c r="D8" t="n">
        <v>6</v>
      </c>
      <c r="E8">
        <f>INDEX(Rates!E:E,MATCH(INDEX(Team!D:D,MATCH(C8,Team!A:A,0)),Rates!A:A,0))</f>
        <v/>
      </c>
      <c r="F8">
        <f>D8/INDEX(Team!E:E,MATCH(C8,Team!A:A,0))</f>
        <v/>
      </c>
      <c r="G8">
        <f>F8*E8</f>
        <v/>
      </c>
      <c r="H8" t="inlineStr">
        <is>
          <t>Infrastructure</t>
        </is>
      </c>
    </row>
    <row r="9">
      <c r="A9" t="inlineStr">
        <is>
          <t>T08</t>
        </is>
      </c>
      <c r="B9" t="inlineStr">
        <is>
          <t>Unit Tests</t>
        </is>
      </c>
      <c r="C9" t="n">
        <v>5</v>
      </c>
      <c r="D9" t="n">
        <v>12</v>
      </c>
      <c r="E9">
        <f>INDEX(Rates!E:E,MATCH(INDEX(Team!D:D,MATCH(C9,Team!A:A,0)),Rates!A:A,0))</f>
        <v/>
      </c>
      <c r="F9">
        <f>D9/INDEX(Team!E:E,MATCH(C9,Team!A:A,0))</f>
        <v/>
      </c>
      <c r="G9">
        <f>F9*E9</f>
        <v/>
      </c>
      <c r="H9" t="inlineStr">
        <is>
          <t>Testing</t>
        </is>
      </c>
    </row>
    <row r="10">
      <c r="A10" t="inlineStr">
        <is>
          <t>T09</t>
        </is>
      </c>
      <c r="B10" t="inlineStr">
        <is>
          <t>Integration Tests</t>
        </is>
      </c>
      <c r="C10" t="n">
        <v>5</v>
      </c>
      <c r="D10" t="n">
        <v>8</v>
      </c>
      <c r="E10">
        <f>INDEX(Rates!E:E,MATCH(INDEX(Team!D:D,MATCH(C10,Team!A:A,0)),Rates!A:A,0))</f>
        <v/>
      </c>
      <c r="F10">
        <f>D10/INDEX(Team!E:E,MATCH(C10,Team!A:A,0))</f>
        <v/>
      </c>
      <c r="G10">
        <f>F10*E10</f>
        <v/>
      </c>
      <c r="H10" t="inlineStr">
        <is>
          <t>Testing</t>
        </is>
      </c>
    </row>
    <row r="11">
      <c r="A11" t="inlineStr">
        <is>
          <t>T10</t>
        </is>
      </c>
      <c r="B11" t="inlineStr">
        <is>
          <t>Performance Testing</t>
        </is>
      </c>
      <c r="C11" t="n">
        <v>5</v>
      </c>
      <c r="D11" t="n">
        <v>5</v>
      </c>
      <c r="E11">
        <f>INDEX(Rates!E:E,MATCH(INDEX(Team!D:D,MATCH(C11,Team!A:A,0)),Rates!A:A,0))</f>
        <v/>
      </c>
      <c r="F11">
        <f>D11/INDEX(Team!E:E,MATCH(C11,Team!A:A,0))</f>
        <v/>
      </c>
      <c r="G11">
        <f>F11*E11</f>
        <v/>
      </c>
      <c r="H11" t="inlineStr">
        <is>
          <t>Testing</t>
        </is>
      </c>
    </row>
    <row r="12">
      <c r="A12" t="inlineStr">
        <is>
          <t>T11</t>
        </is>
      </c>
      <c r="B12" t="inlineStr">
        <is>
          <t>Code Review</t>
        </is>
      </c>
      <c r="C12" t="n">
        <v>1</v>
      </c>
      <c r="D12" t="n">
        <v>10</v>
      </c>
      <c r="E12">
        <f>INDEX(Rates!E:E,MATCH(INDEX(Team!D:D,MATCH(C12,Team!A:A,0)),Rates!A:A,0))</f>
        <v/>
      </c>
      <c r="F12">
        <f>D12/INDEX(Team!E:E,MATCH(C12,Team!A:A,0))</f>
        <v/>
      </c>
      <c r="G12">
        <f>F12*E12</f>
        <v/>
      </c>
      <c r="H12" t="inlineStr">
        <is>
          <t>QA</t>
        </is>
      </c>
    </row>
    <row r="13">
      <c r="A13" t="inlineStr">
        <is>
          <t>T12</t>
        </is>
      </c>
      <c r="B13" t="inlineStr">
        <is>
          <t>Security Audit</t>
        </is>
      </c>
      <c r="C13" t="n">
        <v>7</v>
      </c>
      <c r="D13" t="n">
        <v>4</v>
      </c>
      <c r="E13">
        <f>INDEX(Rates!E:E,MATCH(INDEX(Team!D:D,MATCH(C13,Team!A:A,0)),Rates!A:A,0))</f>
        <v/>
      </c>
      <c r="F13">
        <f>D13/INDEX(Team!E:E,MATCH(C13,Team!A:A,0))</f>
        <v/>
      </c>
      <c r="G13">
        <f>F13*E13</f>
        <v/>
      </c>
      <c r="H13" t="inlineStr">
        <is>
          <t>QA</t>
        </is>
      </c>
    </row>
    <row r="14">
      <c r="A14" t="inlineStr">
        <is>
          <t>T13</t>
        </is>
      </c>
      <c r="B14" t="inlineStr">
        <is>
          <t>Documentation</t>
        </is>
      </c>
      <c r="C14" t="n">
        <v>8</v>
      </c>
      <c r="D14" t="n">
        <v>5</v>
      </c>
      <c r="E14">
        <f>INDEX(Rates!E:E,MATCH(INDEX(Team!D:D,MATCH(C14,Team!A:A,0)),Rates!A:A,0))</f>
        <v/>
      </c>
      <c r="F14">
        <f>D14/INDEX(Team!E:E,MATCH(C14,Team!A:A,0))</f>
        <v/>
      </c>
      <c r="G14">
        <f>F14*E14</f>
        <v/>
      </c>
      <c r="H14" t="inlineStr">
        <is>
          <t>Delivery</t>
        </is>
      </c>
    </row>
    <row r="15">
      <c r="A15" t="inlineStr">
        <is>
          <t>T14</t>
        </is>
      </c>
      <c r="B15" t="inlineStr">
        <is>
          <t>Deployment</t>
        </is>
      </c>
      <c r="C15" t="n">
        <v>7</v>
      </c>
      <c r="D15" t="n">
        <v>3</v>
      </c>
      <c r="E15">
        <f>INDEX(Rates!E:E,MATCH(INDEX(Team!D:D,MATCH(C15,Team!A:A,0)),Rates!A:A,0))</f>
        <v/>
      </c>
      <c r="F15">
        <f>D15/INDEX(Team!E:E,MATCH(C15,Team!A:A,0))</f>
        <v/>
      </c>
      <c r="G15">
        <f>F15*E15</f>
        <v/>
      </c>
      <c r="H15" t="inlineStr">
        <is>
          <t>Delivery</t>
        </is>
      </c>
    </row>
    <row r="16">
      <c r="A16" t="inlineStr">
        <is>
          <t>T15</t>
        </is>
      </c>
      <c r="B16" t="inlineStr">
        <is>
          <t>Training</t>
        </is>
      </c>
      <c r="C16" t="n">
        <v>8</v>
      </c>
      <c r="D16" t="n">
        <v>4</v>
      </c>
      <c r="E16">
        <f>INDEX(Rates!E:E,MATCH(INDEX(Team!D:D,MATCH(C16,Team!A:A,0)),Rates!A:A,0))</f>
        <v/>
      </c>
      <c r="F16">
        <f>D16/INDEX(Team!E:E,MATCH(C16,Team!A:A,0))</f>
        <v/>
      </c>
      <c r="G16">
        <f>F16*E16</f>
        <v/>
      </c>
      <c r="H16" t="inlineStr">
        <is>
          <t>Delivery</t>
        </is>
      </c>
    </row>
    <row r="18">
      <c r="A18" t="inlineStr">
        <is>
          <t>Totals</t>
        </is>
      </c>
      <c r="D18">
        <f>SUM(D2:D16)</f>
        <v/>
      </c>
      <c r="F18">
        <f>SUM(F2:F16)</f>
        <v/>
      </c>
      <c r="G18">
        <f>SUM(G2:G16)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Budget Summary</t>
        </is>
      </c>
    </row>
    <row r="3">
      <c r="A3" t="inlineStr">
        <is>
          <t>Phase</t>
        </is>
      </c>
      <c r="B3" t="inlineStr">
        <is>
          <t>Labor Cost</t>
        </is>
      </c>
      <c r="C3" t="inlineStr">
        <is>
          <t>Contingency (15%)</t>
        </is>
      </c>
      <c r="D3" t="inlineStr">
        <is>
          <t>Phase Total</t>
        </is>
      </c>
    </row>
    <row r="4">
      <c r="A4" t="inlineStr">
        <is>
          <t>Planning</t>
        </is>
      </c>
      <c r="B4">
        <f>SUMIF(Tasks!H:H,A4,Tasks!G:G)</f>
        <v/>
      </c>
      <c r="C4">
        <f>B4*0.15</f>
        <v/>
      </c>
      <c r="D4">
        <f>B4+C4</f>
        <v/>
      </c>
    </row>
    <row r="5">
      <c r="A5" t="inlineStr">
        <is>
          <t>Development</t>
        </is>
      </c>
      <c r="B5">
        <f>SUMIF(Tasks!H:H,A5,Tasks!G:G)</f>
        <v/>
      </c>
      <c r="C5">
        <f>B5*0.15</f>
        <v/>
      </c>
      <c r="D5">
        <f>B5+C5</f>
        <v/>
      </c>
    </row>
    <row r="6">
      <c r="A6" t="inlineStr">
        <is>
          <t>Infrastructure</t>
        </is>
      </c>
      <c r="B6">
        <f>SUMIF(Tasks!H:H,A6,Tasks!G:G)</f>
        <v/>
      </c>
      <c r="C6">
        <f>B6*0.15</f>
        <v/>
      </c>
      <c r="D6">
        <f>B6+C6</f>
        <v/>
      </c>
    </row>
    <row r="7">
      <c r="A7" t="inlineStr">
        <is>
          <t>Testing</t>
        </is>
      </c>
      <c r="B7">
        <f>SUMIF(Tasks!H:H,A7,Tasks!G:G)</f>
        <v/>
      </c>
      <c r="C7">
        <f>B7*0.15</f>
        <v/>
      </c>
      <c r="D7">
        <f>B7+C7</f>
        <v/>
      </c>
    </row>
    <row r="8">
      <c r="A8" t="inlineStr">
        <is>
          <t>QA</t>
        </is>
      </c>
      <c r="B8">
        <f>SUMIF(Tasks!H:H,A8,Tasks!G:G)</f>
        <v/>
      </c>
      <c r="C8">
        <f>B8*0.15</f>
        <v/>
      </c>
      <c r="D8">
        <f>B8+C8</f>
        <v/>
      </c>
    </row>
    <row r="9">
      <c r="A9" t="inlineStr">
        <is>
          <t>Delivery</t>
        </is>
      </c>
      <c r="B9">
        <f>SUMIF(Tasks!H:H,A9,Tasks!G:G)</f>
        <v/>
      </c>
      <c r="C9">
        <f>B9*0.15</f>
        <v/>
      </c>
      <c r="D9">
        <f>B9+C9</f>
        <v/>
      </c>
    </row>
    <row r="10">
      <c r="A10" t="inlineStr">
        <is>
          <t>Subtotal Labor</t>
        </is>
      </c>
      <c r="B10">
        <f>SUM(B4:B9)</f>
        <v/>
      </c>
      <c r="C10">
        <f>SUM(C4:C9)</f>
        <v/>
      </c>
      <c r="D10">
        <f>SUM(D4:D9)</f>
        <v/>
      </c>
    </row>
    <row r="12">
      <c r="A12" t="inlineStr">
        <is>
          <t>Management Overhead (10%)</t>
        </is>
      </c>
      <c r="B12">
        <f>B10*0.10</f>
        <v/>
      </c>
    </row>
    <row r="13">
      <c r="A13" t="inlineStr">
        <is>
          <t>Tools &amp; Licenses</t>
        </is>
      </c>
      <c r="B13" t="n">
        <v>3500</v>
      </c>
    </row>
    <row r="14">
      <c r="A14" t="inlineStr">
        <is>
          <t>Total Project Cost</t>
        </is>
      </c>
      <c r="B14">
        <f>D10+B12+B13</f>
        <v/>
      </c>
    </row>
    <row r="16">
      <c r="A16" t="inlineStr">
        <is>
          <t>Cost per FTE</t>
        </is>
      </c>
      <c r="B16">
        <f>B14/Team!B12</f>
        <v/>
      </c>
    </row>
    <row r="17">
      <c r="A17" t="inlineStr">
        <is>
          <t>Cost per Task Day</t>
        </is>
      </c>
      <c r="B17">
        <f>B14/Tasks!D18</f>
        <v/>
      </c>
    </row>
    <row r="18">
      <c r="A18" t="inlineStr">
        <is>
          <t>Avg Task Cost</t>
        </is>
      </c>
      <c r="B18">
        <f>Tasks!G18/COUNTA(Tasks!A2:A16)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Report</t>
        </is>
      </c>
    </row>
    <row r="3">
      <c r="A3" t="inlineStr">
        <is>
          <t>Total Budget</t>
        </is>
      </c>
      <c r="B3">
        <f>Budget!B14</f>
        <v/>
      </c>
    </row>
    <row r="4">
      <c r="A4" t="inlineStr">
        <is>
          <t>Labor Component</t>
        </is>
      </c>
      <c r="B4">
        <f>Budget!B10</f>
        <v/>
      </c>
    </row>
    <row r="5">
      <c r="A5" t="inlineStr">
        <is>
          <t>Labor %</t>
        </is>
      </c>
      <c r="B5">
        <f>B4/B3</f>
        <v/>
      </c>
    </row>
    <row r="6">
      <c r="A6" t="inlineStr">
        <is>
          <t>Contingency</t>
        </is>
      </c>
      <c r="B6">
        <f>Budget!C10</f>
        <v/>
      </c>
    </row>
    <row r="7">
      <c r="A7" t="inlineStr">
        <is>
          <t>Overhead</t>
        </is>
      </c>
      <c r="B7">
        <f>Budget!B12</f>
        <v/>
      </c>
    </row>
    <row r="9">
      <c r="A9" t="inlineStr">
        <is>
          <t>Team FTE</t>
        </is>
      </c>
      <c r="B9">
        <f>Team!B12</f>
        <v/>
      </c>
    </row>
    <row r="10">
      <c r="A10" t="inlineStr">
        <is>
          <t>Task Days</t>
        </is>
      </c>
      <c r="B10">
        <f>Tasks!D18</f>
        <v/>
      </c>
    </row>
    <row r="11">
      <c r="A11" t="inlineStr">
        <is>
          <t>Effective Days</t>
        </is>
      </c>
      <c r="B11">
        <f>Tasks!F18</f>
        <v/>
      </c>
    </row>
    <row r="12">
      <c r="A12" t="inlineStr">
        <is>
          <t>Efficiency</t>
        </is>
      </c>
      <c r="B12">
        <f>B10/B11</f>
        <v/>
      </c>
    </row>
    <row r="14">
      <c r="A14" t="inlineStr">
        <is>
          <t>Largest Phase</t>
        </is>
      </c>
      <c r="B14">
        <f>INDEX(Budget!A4:A9,MATCH(MAX(Budget!D4:D9),Budget!D4:D9,0))</f>
        <v/>
      </c>
    </row>
    <row r="15">
      <c r="A15" t="inlineStr">
        <is>
          <t>Largest Phase Cost</t>
        </is>
      </c>
      <c r="B15">
        <f>MAX(Budget!D4:D9)</f>
        <v/>
      </c>
    </row>
    <row r="16">
      <c r="A16" t="inlineStr">
        <is>
          <t>Largest Phase Share</t>
        </is>
      </c>
      <c r="B16">
        <f>B15/B3</f>
        <v/>
      </c>
    </row>
    <row r="18">
      <c r="A18" t="inlineStr">
        <is>
          <t>Risk Level</t>
        </is>
      </c>
      <c r="B18">
        <f>IF(B5&gt;0.85,"High: labor-heavy",IF(B5&gt;0.7,"Medium","Low"))</f>
        <v/>
      </c>
    </row>
    <row r="19">
      <c r="A19" t="inlineStr">
        <is>
          <t>Budget Grade</t>
        </is>
      </c>
      <c r="B19">
        <f>IF(B3&lt;50000,"Small",IF(B3&lt;150000,"Medium",IF(B3&lt;500000,"Large","Enterprise")))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2026-05-10T13:17:58Z</dcterms:created>
  <dcterms:modified xmlns:dcterms="http://purl.org/dc/terms/" xmlns:xsi="http://www.w3.org/2001/XMLSchema-instance" xsi:type="dcterms:W3CDTF">2026-05-10T13:17:58Z</dcterms:modified>
</cp:coreProperties>
</file>