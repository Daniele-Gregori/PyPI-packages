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Costs</t>
        </is>
      </c>
      <c r="D1" t="inlineStr">
        <is>
          <t>Profit</t>
        </is>
      </c>
    </row>
    <row r="2">
      <c r="A2" t="inlineStr">
        <is>
          <t>Jan</t>
        </is>
      </c>
      <c r="B2" t="n">
        <v>12000</v>
      </c>
      <c r="C2">
        <f>B2*0.65</f>
        <v/>
      </c>
      <c r="D2">
        <f>B2-C2</f>
        <v/>
      </c>
    </row>
    <row r="3">
      <c r="A3" t="inlineStr">
        <is>
          <t>Feb</t>
        </is>
      </c>
      <c r="B3" t="n">
        <v>15000</v>
      </c>
      <c r="C3">
        <f>B3*0.62</f>
        <v/>
      </c>
      <c r="D3">
        <f>B3-C3</f>
        <v/>
      </c>
    </row>
    <row r="4">
      <c r="A4" t="inlineStr">
        <is>
          <t>Mar</t>
        </is>
      </c>
      <c r="B4" t="n">
        <v>13500</v>
      </c>
      <c r="C4">
        <f>B4*0.68</f>
        <v/>
      </c>
      <c r="D4">
        <f>B4-C4</f>
        <v/>
      </c>
    </row>
    <row r="5">
      <c r="A5" t="inlineStr">
        <is>
          <t>Apr</t>
        </is>
      </c>
      <c r="B5" t="n">
        <v>16000</v>
      </c>
      <c r="C5">
        <f>B5*0.6</f>
        <v/>
      </c>
      <c r="D5">
        <f>B5-C5</f>
        <v/>
      </c>
    </row>
    <row r="6">
      <c r="A6" t="inlineStr">
        <is>
          <t>May</t>
        </is>
      </c>
      <c r="B6" t="n">
        <v>18000</v>
      </c>
      <c r="C6">
        <f>B6*0.58</f>
        <v/>
      </c>
      <c r="D6">
        <f>B6-C6</f>
        <v/>
      </c>
    </row>
    <row r="7">
      <c r="A7" t="inlineStr">
        <is>
          <t>Jun</t>
        </is>
      </c>
      <c r="B7" t="n">
        <v>22000</v>
      </c>
      <c r="C7">
        <f>B7*0.55</f>
        <v/>
      </c>
      <c r="D7">
        <f>B7-C7</f>
        <v/>
      </c>
    </row>
    <row r="8">
      <c r="A8" t="inlineStr">
        <is>
          <t>Jul</t>
        </is>
      </c>
      <c r="B8" t="n">
        <v>25000</v>
      </c>
      <c r="C8">
        <f>B8*0.52</f>
        <v/>
      </c>
      <c r="D8">
        <f>B8-C8</f>
        <v/>
      </c>
    </row>
    <row r="9">
      <c r="A9" t="inlineStr">
        <is>
          <t>Aug</t>
        </is>
      </c>
      <c r="B9" t="n">
        <v>24000</v>
      </c>
      <c r="C9">
        <f>B9*0.54</f>
        <v/>
      </c>
      <c r="D9">
        <f>B9-C9</f>
        <v/>
      </c>
    </row>
    <row r="10">
      <c r="A10" t="inlineStr">
        <is>
          <t>Sep</t>
        </is>
      </c>
      <c r="B10" t="n">
        <v>20000</v>
      </c>
      <c r="C10">
        <f>B10*0.57</f>
        <v/>
      </c>
      <c r="D10">
        <f>B10-C10</f>
        <v/>
      </c>
    </row>
    <row r="11">
      <c r="A11" t="inlineStr">
        <is>
          <t>Oct</t>
        </is>
      </c>
      <c r="B11" t="n">
        <v>17000</v>
      </c>
      <c r="C11">
        <f>B11*0.61</f>
        <v/>
      </c>
      <c r="D11">
        <f>B11-C11</f>
        <v/>
      </c>
    </row>
    <row r="12">
      <c r="A12" t="inlineStr">
        <is>
          <t>Nov</t>
        </is>
      </c>
      <c r="B12" t="n">
        <v>14000</v>
      </c>
      <c r="C12">
        <f>B12*0.66</f>
        <v/>
      </c>
      <c r="D12">
        <f>B12-C12</f>
        <v/>
      </c>
    </row>
    <row r="13">
      <c r="A13" t="inlineStr">
        <is>
          <t>Dec</t>
        </is>
      </c>
      <c r="B13" t="n">
        <v>19000</v>
      </c>
      <c r="C13">
        <f>B13*0.59</f>
        <v/>
      </c>
      <c r="D13">
        <f>B13-C13</f>
        <v/>
      </c>
    </row>
    <row r="14">
      <c r="A14" t="inlineStr">
        <is>
          <t>Total</t>
        </is>
      </c>
      <c r="B14">
        <f>SUM(B2:B13)</f>
        <v/>
      </c>
      <c r="C14">
        <f>SUM(C2:C13)</f>
        <v/>
      </c>
      <c r="D14">
        <f>SUM(D2:D13)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Annual Summary</t>
        </is>
      </c>
    </row>
    <row r="3">
      <c r="A3" t="inlineStr">
        <is>
          <t>Total Revenue</t>
        </is>
      </c>
      <c r="B3">
        <f>Input!B14</f>
        <v/>
      </c>
    </row>
    <row r="4">
      <c r="A4" t="inlineStr">
        <is>
          <t>Total Costs</t>
        </is>
      </c>
      <c r="B4">
        <f>Input!C14</f>
        <v/>
      </c>
    </row>
    <row r="5">
      <c r="A5" t="inlineStr">
        <is>
          <t>Total Profit</t>
        </is>
      </c>
      <c r="B5">
        <f>Input!D14</f>
        <v/>
      </c>
    </row>
    <row r="6">
      <c r="A6" t="inlineStr">
        <is>
          <t>Profit Margin</t>
        </is>
      </c>
      <c r="B6">
        <f>B5/B3</f>
        <v/>
      </c>
    </row>
    <row r="8">
      <c r="A8" t="inlineStr">
        <is>
          <t>Avg Monthly Revenue</t>
        </is>
      </c>
      <c r="B8">
        <f>AVERAGE(Input!B2:Input!B13)</f>
        <v/>
      </c>
    </row>
    <row r="9">
      <c r="A9" t="inlineStr">
        <is>
          <t>Best Month Revenue</t>
        </is>
      </c>
      <c r="B9">
        <f>MAX(Input!B2:Input!B13)</f>
        <v/>
      </c>
    </row>
    <row r="10">
      <c r="A10" t="inlineStr">
        <is>
          <t>Worst Month Revenue</t>
        </is>
      </c>
      <c r="B10">
        <f>MIN(Input!B2:Input!B13)</f>
        <v/>
      </c>
    </row>
    <row r="12">
      <c r="A12" t="inlineStr">
        <is>
          <t>Profitable?</t>
        </is>
      </c>
      <c r="B12">
        <f>IF(B5&gt;0,"Yes","No")</f>
        <v/>
      </c>
    </row>
    <row r="13">
      <c r="A13" t="inlineStr">
        <is>
          <t>Margin Status</t>
        </is>
      </c>
      <c r="B13">
        <f>IF(B6&gt;0.3,"Healthy",IF(B6&gt;0.15,"Moderate","Low"))</f>
        <v/>
      </c>
    </row>
    <row r="14">
      <c r="A14" t="inlineStr">
        <is>
          <t>Profit per Month</t>
        </is>
      </c>
      <c r="B14">
        <f>B5/12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2026-05-10T12:30:20Z</dcterms:created>
  <dcterms:modified xmlns:dcterms="http://purl.org/dc/terms/" xmlns:xsi="http://www.w3.org/2001/XMLSchema-instance" xsi:type="dcterms:W3CDTF">2026-05-10T12:30:20Z</dcterms:modified>
</cp:coreProperties>
</file>