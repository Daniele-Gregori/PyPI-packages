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Quantity</t>
        </is>
      </c>
      <c r="E1" t="inlineStr">
        <is>
          <t>Revenue</t>
        </is>
      </c>
      <c r="F1" t="inlineStr">
        <is>
          <t>Tax</t>
        </is>
      </c>
      <c r="G1" t="inlineStr">
        <is>
          <t>Total</t>
        </is>
      </c>
    </row>
    <row r="2">
      <c r="A2" t="inlineStr">
        <is>
          <t>Widget A</t>
        </is>
      </c>
      <c r="B2" t="inlineStr">
        <is>
          <t>Electronics</t>
        </is>
      </c>
      <c r="C2" t="n">
        <v>25.5</v>
      </c>
      <c r="D2" t="n">
        <v>100</v>
      </c>
      <c r="E2">
        <f>C2*D2</f>
        <v/>
      </c>
      <c r="F2">
        <f>E2*$B$10</f>
        <v/>
      </c>
      <c r="G2">
        <f>E2+F2</f>
        <v/>
      </c>
    </row>
    <row r="3">
      <c r="A3" t="inlineStr">
        <is>
          <t>Widget B</t>
        </is>
      </c>
      <c r="B3" t="inlineStr">
        <is>
          <t>Electronics</t>
        </is>
      </c>
      <c r="C3" t="n">
        <v>42</v>
      </c>
      <c r="D3" t="n">
        <v>75</v>
      </c>
      <c r="E3">
        <f>C3*D3</f>
        <v/>
      </c>
      <c r="F3">
        <f>E3*$B$10</f>
        <v/>
      </c>
      <c r="G3">
        <f>E3+F3</f>
        <v/>
      </c>
    </row>
    <row r="4">
      <c r="A4" t="inlineStr">
        <is>
          <t>Gadget C</t>
        </is>
      </c>
      <c r="B4" t="inlineStr">
        <is>
          <t>Home</t>
        </is>
      </c>
      <c r="C4" t="n">
        <v>18.99</v>
      </c>
      <c r="D4" t="n">
        <v>200</v>
      </c>
      <c r="E4">
        <f>C4*D4</f>
        <v/>
      </c>
      <c r="F4">
        <f>E4*$B$10</f>
        <v/>
      </c>
      <c r="G4">
        <f>E4+F4</f>
        <v/>
      </c>
    </row>
    <row r="5">
      <c r="A5" t="inlineStr">
        <is>
          <t>Gadget D</t>
        </is>
      </c>
      <c r="B5" t="inlineStr">
        <is>
          <t>Home</t>
        </is>
      </c>
      <c r="C5" t="n">
        <v>35</v>
      </c>
      <c r="D5" t="n">
        <v>150</v>
      </c>
      <c r="E5">
        <f>C5*D5</f>
        <v/>
      </c>
      <c r="F5">
        <f>E5*$B$10</f>
        <v/>
      </c>
      <c r="G5">
        <f>E5+F5</f>
        <v/>
      </c>
    </row>
    <row r="6">
      <c r="A6" t="inlineStr">
        <is>
          <t>Tool E</t>
        </is>
      </c>
      <c r="B6" t="inlineStr">
        <is>
          <t>Industrial</t>
        </is>
      </c>
      <c r="C6" t="n">
        <v>89.98999999999999</v>
      </c>
      <c r="D6" t="n">
        <v>50</v>
      </c>
      <c r="E6">
        <f>C6*D6</f>
        <v/>
      </c>
      <c r="F6">
        <f>E6*$B$10</f>
        <v/>
      </c>
      <c r="G6">
        <f>E6+F6</f>
        <v/>
      </c>
    </row>
    <row r="7">
      <c r="A7" t="inlineStr">
        <is>
          <t>Tool F</t>
        </is>
      </c>
      <c r="B7" t="inlineStr">
        <is>
          <t>Industrial</t>
        </is>
      </c>
      <c r="C7" t="n">
        <v>120</v>
      </c>
      <c r="D7" t="n">
        <v>30</v>
      </c>
      <c r="E7">
        <f>C7*D7</f>
        <v/>
      </c>
      <c r="F7">
        <f>E7*$B$10</f>
        <v/>
      </c>
      <c r="G7">
        <f>E7+F7</f>
        <v/>
      </c>
    </row>
    <row r="9">
      <c r="A9" t="inlineStr">
        <is>
          <t>TOTALS</t>
        </is>
      </c>
      <c r="E9">
        <f>SUM(E2:E7)</f>
        <v/>
      </c>
      <c r="F9">
        <f>SUM(F2:F7)</f>
        <v/>
      </c>
      <c r="G9">
        <f>SUM(G2:G7)</f>
        <v/>
      </c>
    </row>
    <row r="10">
      <c r="A10" t="inlineStr">
        <is>
          <t>Tax Rate</t>
        </is>
      </c>
      <c r="B10" t="n">
        <v>0.22</v>
      </c>
    </row>
    <row r="12">
      <c r="A12" t="inlineStr">
        <is>
          <t>Average Revenue</t>
        </is>
      </c>
      <c r="B12">
        <f>AVERAGE(E2:E7)</f>
        <v/>
      </c>
    </row>
    <row r="13">
      <c r="A13" t="inlineStr">
        <is>
          <t>Max Revenue</t>
        </is>
      </c>
      <c r="B13">
        <f>MAX(E2:E7)</f>
        <v/>
      </c>
    </row>
    <row r="14">
      <c r="A14" t="inlineStr">
        <is>
          <t>Min Revenue</t>
        </is>
      </c>
      <c r="B14">
        <f>MIN(E2:E7)</f>
        <v/>
      </c>
    </row>
    <row r="15">
      <c r="A15" t="inlineStr">
        <is>
          <t>Electronics Count</t>
        </is>
      </c>
      <c r="B15">
        <f>COUNTIF(B2:B7,"Electronics")</f>
        <v/>
      </c>
    </row>
    <row r="16">
      <c r="A16" t="inlineStr">
        <is>
          <t>Electronics Revenue</t>
        </is>
      </c>
      <c r="B16">
        <f>SUMIF(B2:B7,"Electronics",E2:E7)</f>
        <v/>
      </c>
    </row>
    <row r="17">
      <c r="A17" t="inlineStr">
        <is>
          <t>Revenue Share</t>
        </is>
      </c>
      <c r="B17">
        <f>B16/E9</f>
        <v/>
      </c>
    </row>
    <row r="18">
      <c r="A18" t="inlineStr">
        <is>
          <t>Status</t>
        </is>
      </c>
      <c r="B18">
        <f>IF(B17&gt;0.5,"Dominant","Minor")</f>
        <v/>
      </c>
    </row>
    <row r="19">
      <c r="A19" t="inlineStr">
        <is>
          <t>Adjusted Avg</t>
        </is>
      </c>
      <c r="B19">
        <f>ROUND(AVERAGE(E2:E7)*1.1, 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2026-05-10T12:30:20Z</dcterms:created>
  <dcterms:modified xmlns:dcterms="http://purl.org/dc/terms/" xmlns:xsi="http://www.w3.org/2001/XMLSchema-instance" xsi:type="dcterms:W3CDTF">2026-05-10T12:30:20Z</dcterms:modified>
</cp:coreProperties>
</file>